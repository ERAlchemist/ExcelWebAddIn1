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P:\Operations\Lab\CHP - Gonzales\SOP\"/>
    </mc:Choice>
  </mc:AlternateContent>
  <bookViews>
    <workbookView xWindow="240" yWindow="15" windowWidth="11295" windowHeight="8535"/>
  </bookViews>
  <sheets>
    <sheet name="PolishApproval" sheetId="8" r:id="rId1"/>
    <sheet name="ShipApproval" sheetId="7" r:id="rId2"/>
    <sheet name="Info" sheetId="5" r:id="rId3"/>
  </sheets>
  <definedNames>
    <definedName name="_R2">Info!$H$15:$H$28</definedName>
    <definedName name="Allergens">Info!$D$11:$D$14</definedName>
    <definedName name="Brand">Info!$B$2:$B$16</definedName>
    <definedName name="Pass_Fail">Info!$D$8:$D$10</definedName>
    <definedName name="PMA_status">Info!$A$13:$A$16</definedName>
    <definedName name="_xlnm.Print_Area" localSheetId="0">PolishApproval!$A$1:$L$38</definedName>
    <definedName name="_xlnm.Print_Area" localSheetId="1">ShipApproval!$A$1:$K$36</definedName>
    <definedName name="selection">PolishApproval!$T$10</definedName>
    <definedName name="ShipStage">Info!$D$2:$D$6</definedName>
    <definedName name="table">Info!$G$14:$N$28</definedName>
    <definedName name="table1">Info!$G$30:$U$37</definedName>
    <definedName name="table2">Info!$G$30:$K$179</definedName>
    <definedName name="Varietal">Info!$C$2:$C$20</definedName>
    <definedName name="Vintage">Info!$A$2:$A$6</definedName>
    <definedName name="vintage1">Info!$A$2:$A$7</definedName>
    <definedName name="Winemaking" localSheetId="0">PolishApproval!#REF!</definedName>
    <definedName name="Winemaking" localSheetId="1">ShipApproval!#REF!</definedName>
    <definedName name="Winemaking">#REF!</definedName>
    <definedName name="Wineries">Info!$D$15:$D$20</definedName>
    <definedName name="Wineries1">Info!$D$15:$D$21</definedName>
    <definedName name="wines_with_specs">Info!$G$31:$G$75</definedName>
    <definedName name="WineSpecs">Info!$G$14:$BG$27</definedName>
  </definedNames>
  <calcPr calcId="171027"/>
</workbook>
</file>

<file path=xl/calcChain.xml><?xml version="1.0" encoding="utf-8"?>
<calcChain xmlns="http://schemas.openxmlformats.org/spreadsheetml/2006/main">
  <c r="B19" i="7" l="1"/>
  <c r="B16" i="7"/>
  <c r="B15" i="7"/>
  <c r="D16" i="8"/>
  <c r="D18" i="8"/>
  <c r="D17" i="8"/>
</calcChain>
</file>

<file path=xl/comments1.xml><?xml version="1.0" encoding="utf-8"?>
<comments xmlns="http://schemas.openxmlformats.org/spreadsheetml/2006/main">
  <authors>
    <author>Fred Miller</author>
  </authors>
  <commentList>
    <comment ref="H16" authorId="0" shapeId="0">
      <text>
        <r>
          <rPr>
            <b/>
            <sz val="8"/>
            <color indexed="20"/>
            <rFont val="Tahoma"/>
            <family val="2"/>
          </rPr>
          <t>2012 Vintage plus. Includes nonvintage blends that contain 2012 plus vintage components. Also applies vintages earlier than 2012 that contain 2012 plus vintage blend components.</t>
        </r>
      </text>
    </comment>
    <comment ref="H17" authorId="0" shapeId="0">
      <text>
        <r>
          <rPr>
            <b/>
            <sz val="8"/>
            <color indexed="20"/>
            <rFont val="Tahoma"/>
            <family val="2"/>
          </rPr>
          <t>2012 Vintage plus. Includes nonvintage blends that contain 2012 plus vintage components. Also applies vintages earlier than 2012 that contain 2012 plus vintage blend components.</t>
        </r>
      </text>
    </comment>
    <comment ref="H18" authorId="0" shapeId="0">
      <text>
        <r>
          <rPr>
            <b/>
            <sz val="8"/>
            <color indexed="20"/>
            <rFont val="Tahoma"/>
            <family val="2"/>
          </rPr>
          <t>2012 Vintage plus. Includes nonvintage blends that contain 2012 plus vintage components. Also applies vintages earlier than 2012 that contain 2012 plus vintage blend components.</t>
        </r>
      </text>
    </comment>
    <comment ref="H19" authorId="0" shapeId="0">
      <text>
        <r>
          <rPr>
            <b/>
            <sz val="8"/>
            <color indexed="20"/>
            <rFont val="Tahoma"/>
            <family val="2"/>
          </rPr>
          <t>Master blend or equivalent level. Completion &amp; reporting is the responsibility of the shipping winery. Pass means that values reported for each analyte are below the respective required MRL (maximum residue limit).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20" authorId="0" shapeId="0">
      <text>
        <r>
          <rPr>
            <b/>
            <sz val="8"/>
            <color indexed="20"/>
            <rFont val="Tahoma"/>
            <family val="2"/>
          </rPr>
          <t>Master blend or equivalent level. Completion &amp; reporting is the responsibility of the shipping winery. Pass means that values reported for each analyte are below the respective required limt.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<sst xmlns="http://schemas.openxmlformats.org/spreadsheetml/2006/main" count="291" uniqueCount="192">
  <si>
    <t>Specs</t>
  </si>
  <si>
    <t>pH</t>
  </si>
  <si>
    <t>Cold Stability</t>
  </si>
  <si>
    <t>Heat Stability</t>
  </si>
  <si>
    <t>Gallons:</t>
  </si>
  <si>
    <t>Pass / Fail</t>
  </si>
  <si>
    <t>S.G.   T</t>
  </si>
  <si>
    <t>S.G.   B</t>
  </si>
  <si>
    <t>Temperature</t>
  </si>
  <si>
    <t xml:space="preserve">Filterability </t>
  </si>
  <si>
    <t>PBR = Pass by Blend (Compositional) Review</t>
  </si>
  <si>
    <t>Winemaking:</t>
  </si>
  <si>
    <t>QC:</t>
  </si>
  <si>
    <t>RELEASE FOR SHIPPING</t>
  </si>
  <si>
    <t>TSO2 ppm</t>
  </si>
  <si>
    <t>Alcohol %</t>
  </si>
  <si>
    <t>T.A. g/L</t>
  </si>
  <si>
    <t>V.A. g/L</t>
  </si>
  <si>
    <t>Vintage</t>
  </si>
  <si>
    <t>Brand</t>
  </si>
  <si>
    <t>Varietal</t>
  </si>
  <si>
    <t>ShipStage</t>
  </si>
  <si>
    <t>DeAlc</t>
  </si>
  <si>
    <t>Chardonnay</t>
  </si>
  <si>
    <t>Pinot Grigio</t>
  </si>
  <si>
    <t>Pinot Gris</t>
  </si>
  <si>
    <t>Sauv Blanc</t>
  </si>
  <si>
    <t>Syrah</t>
  </si>
  <si>
    <t>Shiraz</t>
  </si>
  <si>
    <t>Pinot Noir</t>
  </si>
  <si>
    <t>Cab Sauv</t>
  </si>
  <si>
    <t>Merlot</t>
  </si>
  <si>
    <t>Red Blend</t>
  </si>
  <si>
    <t>Black Pinot Noir</t>
  </si>
  <si>
    <t>Zinfandel</t>
  </si>
  <si>
    <t>Meritage</t>
  </si>
  <si>
    <t>Heritage Red</t>
  </si>
  <si>
    <t>BBA Cab Sauv</t>
  </si>
  <si>
    <t>BBA Chard</t>
  </si>
  <si>
    <t>Other</t>
  </si>
  <si>
    <t>7 Moons</t>
  </si>
  <si>
    <t>Black Box</t>
  </si>
  <si>
    <t>Blackstone</t>
  </si>
  <si>
    <t>Callie</t>
  </si>
  <si>
    <t>Dreaming Tree</t>
  </si>
  <si>
    <t>Estancia</t>
  </si>
  <si>
    <t>Hidden Crush</t>
  </si>
  <si>
    <t>Mark West</t>
  </si>
  <si>
    <t>Meiomi</t>
  </si>
  <si>
    <t>Paso Creek</t>
  </si>
  <si>
    <t>RMPS</t>
  </si>
  <si>
    <t>V.No</t>
  </si>
  <si>
    <t>Wild Horse</t>
  </si>
  <si>
    <t>Pass</t>
  </si>
  <si>
    <t>TBD</t>
  </si>
  <si>
    <t>PBR</t>
  </si>
  <si>
    <t>Pre-Polish</t>
  </si>
  <si>
    <t>Cellar Brite</t>
  </si>
  <si>
    <t>Bottle Ready</t>
  </si>
  <si>
    <t xml:space="preserve">Date </t>
  </si>
  <si>
    <t>Tank</t>
  </si>
  <si>
    <t>PASS</t>
  </si>
  <si>
    <t>FAIL</t>
  </si>
  <si>
    <t>Woodbridge</t>
  </si>
  <si>
    <t>Turner Road</t>
  </si>
  <si>
    <t>Mission Bell</t>
  </si>
  <si>
    <t>Clois Du Bois</t>
  </si>
  <si>
    <r>
      <t>Winemaker's Polish Approval:</t>
    </r>
    <r>
      <rPr>
        <b/>
        <u/>
        <sz val="10"/>
        <rFont val="Arial"/>
        <family val="2"/>
      </rPr>
      <t xml:space="preserve">           </t>
    </r>
    <r>
      <rPr>
        <b/>
        <sz val="10"/>
        <rFont val="Arial"/>
        <family val="2"/>
      </rPr>
      <t xml:space="preserve"> </t>
    </r>
    <r>
      <rPr>
        <b/>
        <u/>
        <sz val="10"/>
        <rFont val="Arial"/>
        <family val="2"/>
      </rPr>
      <t xml:space="preserve">                    </t>
    </r>
  </si>
  <si>
    <t>FSO2 ppm</t>
  </si>
  <si>
    <t>R.S. g/L</t>
  </si>
  <si>
    <r>
      <t>Tank DO</t>
    </r>
    <r>
      <rPr>
        <b/>
        <vertAlign val="subscript"/>
        <sz val="11"/>
        <rFont val="Arial"/>
        <family val="2"/>
      </rPr>
      <t xml:space="preserve">2 </t>
    </r>
    <r>
      <rPr>
        <b/>
        <sz val="11"/>
        <rFont val="Arial"/>
        <family val="2"/>
      </rPr>
      <t>ppm</t>
    </r>
  </si>
  <si>
    <r>
      <t>CO</t>
    </r>
    <r>
      <rPr>
        <b/>
        <vertAlign val="subscript"/>
        <sz val="11"/>
        <rFont val="Arial"/>
        <family val="2"/>
      </rPr>
      <t>2</t>
    </r>
    <r>
      <rPr>
        <b/>
        <sz val="11"/>
        <rFont val="Arial"/>
        <family val="2"/>
      </rPr>
      <t xml:space="preserve"> g/L</t>
    </r>
  </si>
  <si>
    <t>Allergen- Casein</t>
  </si>
  <si>
    <t xml:space="preserve">Allergen- Egg </t>
  </si>
  <si>
    <t>Allergen- Lysozyme</t>
  </si>
  <si>
    <t>Metals Residual</t>
  </si>
  <si>
    <t>Pesticide Residual</t>
  </si>
  <si>
    <t>NTU</t>
  </si>
  <si>
    <t>Special Instructions</t>
  </si>
  <si>
    <t>Results (%)</t>
  </si>
  <si>
    <t>Wt. Fact. #/gal</t>
  </si>
  <si>
    <t>Tanks/Dates</t>
  </si>
  <si>
    <t>Receiving Winery</t>
  </si>
  <si>
    <t>Lot ID:</t>
  </si>
  <si>
    <t>Shipping Approval</t>
  </si>
  <si>
    <t>Allergens</t>
  </si>
  <si>
    <t>Pesticides</t>
  </si>
  <si>
    <t>Metals</t>
  </si>
  <si>
    <t>Outside Testing Requirements</t>
  </si>
  <si>
    <t>Previously Tested</t>
  </si>
  <si>
    <t>Send for Testing</t>
  </si>
  <si>
    <t>Awaiting Results</t>
  </si>
  <si>
    <t>Tank &amp; Date</t>
  </si>
  <si>
    <t>Chemical Analysis</t>
  </si>
  <si>
    <t>Wine Stage</t>
  </si>
  <si>
    <t>Analysis: To Tanks and Post Polish Results</t>
  </si>
  <si>
    <t>Outside Analysis Results</t>
  </si>
  <si>
    <t>Post CG:</t>
  </si>
  <si>
    <t>Other:</t>
  </si>
  <si>
    <t xml:space="preserve">Polish Filter Approval </t>
  </si>
  <si>
    <t>Lot ID</t>
  </si>
  <si>
    <t>Previous Lot ID</t>
  </si>
  <si>
    <t>FSO2</t>
  </si>
  <si>
    <t>10.0 - 12.0</t>
  </si>
  <si>
    <t>&lt; 1.0</t>
  </si>
  <si>
    <t>7 Moons Red Blend</t>
  </si>
  <si>
    <t>Black Box Merlot</t>
  </si>
  <si>
    <t>40 - 45</t>
  </si>
  <si>
    <t>5.8 - 6.2</t>
  </si>
  <si>
    <t>35 - 40</t>
  </si>
  <si>
    <t>Black Box Shiraz</t>
  </si>
  <si>
    <t>Black Box Pinot Grigio</t>
  </si>
  <si>
    <t>6.8 - 7.2</t>
  </si>
  <si>
    <t>2.0 - 2.5</t>
  </si>
  <si>
    <t>Black Box White Riesling</t>
  </si>
  <si>
    <t>19.0 - 21.0</t>
  </si>
  <si>
    <t>Black Box Red Blend</t>
  </si>
  <si>
    <t>Black Box Chardonnay</t>
  </si>
  <si>
    <t>14.5 - 15.5</t>
  </si>
  <si>
    <t>RS</t>
  </si>
  <si>
    <t>TSO2</t>
  </si>
  <si>
    <t>V.A.</t>
  </si>
  <si>
    <r>
      <t>Tank DO</t>
    </r>
    <r>
      <rPr>
        <b/>
        <vertAlign val="subscript"/>
        <sz val="11"/>
        <rFont val="Arial"/>
        <family val="2"/>
      </rPr>
      <t>2</t>
    </r>
  </si>
  <si>
    <t>White Riesling</t>
  </si>
  <si>
    <t>RWR16BBX01A</t>
  </si>
  <si>
    <t>Approval Date:</t>
  </si>
  <si>
    <t>Blackstone Sauv Blanc</t>
  </si>
  <si>
    <t>Blackstone Cab Sauv</t>
  </si>
  <si>
    <t>Blackstone Merlot</t>
  </si>
  <si>
    <t>Blackstone Chardonnay</t>
  </si>
  <si>
    <t>2.5 - 3.0</t>
  </si>
  <si>
    <t>4.0 - 4.5</t>
  </si>
  <si>
    <t>4.8 - 5.2</t>
  </si>
  <si>
    <t>6.5  - 7.0</t>
  </si>
  <si>
    <t>28 - 33</t>
  </si>
  <si>
    <t>32 - 35</t>
  </si>
  <si>
    <t>Callie Red Blend</t>
  </si>
  <si>
    <t>Callie Chardonnay</t>
  </si>
  <si>
    <t>Callie Pinot Grigio</t>
  </si>
  <si>
    <t>30 - 35</t>
  </si>
  <si>
    <t>23 - 28</t>
  </si>
  <si>
    <t>6.5 - 7.5</t>
  </si>
  <si>
    <t>2.8 - 3.2</t>
  </si>
  <si>
    <t>Dreaming Tree Chardonnay</t>
  </si>
  <si>
    <t>Dreaming Tree Pinot Noir</t>
  </si>
  <si>
    <t>3.0 - 3.5</t>
  </si>
  <si>
    <t>Estancia Pinot Noir</t>
  </si>
  <si>
    <t>Estancia Chardonnay</t>
  </si>
  <si>
    <t>Estancia Cab Sauv</t>
  </si>
  <si>
    <t>Estancia Merlot</t>
  </si>
  <si>
    <t>0.5 - 2.0</t>
  </si>
  <si>
    <t>2.0 - 3.0</t>
  </si>
  <si>
    <t>27 - 33</t>
  </si>
  <si>
    <t>33 - 38</t>
  </si>
  <si>
    <t>Hidden Crush Chardonnay</t>
  </si>
  <si>
    <t>Hidden Crush Cab Sauv</t>
  </si>
  <si>
    <t>4.5 - 5.0</t>
  </si>
  <si>
    <t>1.8 - 2.3</t>
  </si>
  <si>
    <t>Mark West Black Pinot Noir</t>
  </si>
  <si>
    <t>Mark West CA Pinot Noir</t>
  </si>
  <si>
    <t>Mark West Chardonnay</t>
  </si>
  <si>
    <t>5.0 - 5.5</t>
  </si>
  <si>
    <t>Meiomi Chardonnay</t>
  </si>
  <si>
    <t>Meiomi Pinot Noir</t>
  </si>
  <si>
    <t xml:space="preserve">5.8 - 6.2 </t>
  </si>
  <si>
    <t>Paso Creek Cab Sauv</t>
  </si>
  <si>
    <t>Paso Creek Merlot</t>
  </si>
  <si>
    <t>RMPS Pinot Grigio</t>
  </si>
  <si>
    <t>RMPS BBA Cab Sauv</t>
  </si>
  <si>
    <t>RMPS Heritage Red</t>
  </si>
  <si>
    <t>RMPS Sauv Blanc</t>
  </si>
  <si>
    <t>RMPS Pinot Noir</t>
  </si>
  <si>
    <t>RMPS White Riesling</t>
  </si>
  <si>
    <t>RMPS Meritage</t>
  </si>
  <si>
    <t>RMPS Merlot</t>
  </si>
  <si>
    <t>RMPS Cab Sauv</t>
  </si>
  <si>
    <t>RMPS Zinfandel</t>
  </si>
  <si>
    <t>RMPS Chardonnay</t>
  </si>
  <si>
    <t>4.3 - 4.7</t>
  </si>
  <si>
    <t>3.3 - 3.7</t>
  </si>
  <si>
    <t>3.7 - 4.2</t>
  </si>
  <si>
    <t>24.0 - 24.6</t>
  </si>
  <si>
    <t>3.8 - 4.2</t>
  </si>
  <si>
    <t>5.7 - 6.3</t>
  </si>
  <si>
    <t>4.4 - 4.8</t>
  </si>
  <si>
    <t>V. No Cab Sauv</t>
  </si>
  <si>
    <t>Wild Horse Pinot Noir</t>
  </si>
  <si>
    <t>Wild Horse Cab Sauv</t>
  </si>
  <si>
    <t>(DNA)</t>
  </si>
  <si>
    <t>1.0 (DNA)</t>
  </si>
  <si>
    <t>DNA</t>
  </si>
  <si>
    <t>7 Moons Shiraz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</si>
</sst>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m/d;@"/>
    <numFmt numFmtId="165" formatCode="0.0"/>
    <numFmt numFmtId="166" formatCode="0.000"/>
    <numFmt numFmtId="167" formatCode="0.0000"/>
    <numFmt numFmtId="168" formatCode="[$-409]m/d/yy\ h:mm\ AM/PM;@"/>
  </numFmts>
  <fonts count="23" x14ac:knownFonts="1">
    <font>
      <sz val="10"/>
      <name val="Arial"/>
    </font>
    <font>
      <u/>
      <sz val="10"/>
      <name val="Arial"/>
      <family val="2"/>
    </font>
    <font>
      <sz val="10"/>
      <name val="Arial"/>
      <family val="2"/>
    </font>
    <font>
      <b/>
      <sz val="8"/>
      <color indexed="20"/>
      <name val="Tahoma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6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sz val="8"/>
      <name val="Arial"/>
      <family val="2"/>
    </font>
    <font>
      <b/>
      <vertAlign val="subscript"/>
      <sz val="11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18"/>
      <name val="Cambria"/>
      <family val="1"/>
      <scheme val="major"/>
    </font>
    <font>
      <b/>
      <sz val="14"/>
      <name val="Arial"/>
      <family val="2"/>
    </font>
    <font>
      <b/>
      <sz val="16"/>
      <name val="Baskerville Old Face"/>
      <family val="1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450666829432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slantDashDot">
        <color indexed="64"/>
      </top>
      <bottom style="thin">
        <color indexed="64"/>
      </bottom>
      <diagonal/>
    </border>
    <border>
      <left style="slantDashDot">
        <color indexed="64"/>
      </left>
      <right/>
      <top style="thin">
        <color indexed="64"/>
      </top>
      <bottom style="thin">
        <color indexed="64"/>
      </bottom>
      <diagonal/>
    </border>
    <border>
      <left style="slantDashDot">
        <color indexed="64"/>
      </left>
      <right/>
      <top style="slantDashDot">
        <color indexed="64"/>
      </top>
      <bottom style="thin">
        <color indexed="64"/>
      </bottom>
      <diagonal/>
    </border>
    <border>
      <left/>
      <right style="slantDashDot">
        <color indexed="64"/>
      </right>
      <top style="slantDashDot">
        <color indexed="64"/>
      </top>
      <bottom style="thin">
        <color indexed="64"/>
      </bottom>
      <diagonal/>
    </border>
    <border>
      <left/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auto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slantDashDot">
        <color indexed="64"/>
      </right>
      <top style="thin">
        <color auto="1"/>
      </top>
      <bottom style="medium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slantDashDot">
        <color indexed="64"/>
      </right>
      <top style="medium">
        <color indexed="64"/>
      </top>
      <bottom/>
      <diagonal/>
    </border>
    <border>
      <left/>
      <right style="slantDashDot">
        <color indexed="64"/>
      </right>
      <top/>
      <bottom/>
      <diagonal/>
    </border>
    <border>
      <left/>
      <right/>
      <top/>
      <bottom style="mediumDashDot">
        <color indexed="64"/>
      </bottom>
      <diagonal/>
    </border>
    <border>
      <left/>
      <right style="medium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medium">
        <color indexed="64"/>
      </right>
      <top/>
      <bottom style="slantDashDot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slantDashDot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slantDashDot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DashDot">
        <color indexed="64"/>
      </left>
      <right/>
      <top style="mediumDashDot">
        <color indexed="64"/>
      </top>
      <bottom style="mediumDashDot">
        <color indexed="64"/>
      </bottom>
      <diagonal/>
    </border>
    <border>
      <left/>
      <right/>
      <top style="mediumDashDot">
        <color indexed="64"/>
      </top>
      <bottom style="mediumDashDot">
        <color indexed="64"/>
      </bottom>
      <diagonal/>
    </border>
    <border>
      <left/>
      <right style="mediumDashDot">
        <color indexed="64"/>
      </right>
      <top style="mediumDashDot">
        <color indexed="64"/>
      </top>
      <bottom style="mediumDashDot">
        <color indexed="64"/>
      </bottom>
      <diagonal/>
    </border>
    <border>
      <left style="mediumDashDot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/>
      <right style="mediumDashDot">
        <color indexed="64"/>
      </right>
      <top style="dotted">
        <color indexed="64"/>
      </top>
      <bottom/>
      <diagonal/>
    </border>
    <border>
      <left style="mediumDashDot">
        <color indexed="64"/>
      </left>
      <right/>
      <top/>
      <bottom style="mediumDashDot">
        <color indexed="64"/>
      </bottom>
      <diagonal/>
    </border>
    <border>
      <left/>
      <right style="mediumDashDot">
        <color indexed="64"/>
      </right>
      <top/>
      <bottom style="mediumDashDot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DashDot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slantDashDot">
        <color auto="1"/>
      </left>
      <right style="thin">
        <color auto="1"/>
      </right>
      <top style="medium">
        <color indexed="64"/>
      </top>
      <bottom/>
      <diagonal/>
    </border>
    <border>
      <left style="slantDashDot">
        <color indexed="64"/>
      </left>
      <right/>
      <top style="thin">
        <color indexed="64"/>
      </top>
      <bottom style="slantDashDot">
        <color indexed="64"/>
      </bottom>
      <diagonal/>
    </border>
    <border>
      <left/>
      <right/>
      <top style="thin">
        <color indexed="64"/>
      </top>
      <bottom style="slantDashDot">
        <color indexed="64"/>
      </bottom>
      <diagonal/>
    </border>
    <border>
      <left/>
      <right style="slantDashDot">
        <color indexed="64"/>
      </right>
      <top style="thin">
        <color indexed="64"/>
      </top>
      <bottom style="slantDashDot">
        <color indexed="64"/>
      </bottom>
      <diagonal/>
    </border>
  </borders>
  <cellStyleXfs count="1">
    <xf numFmtId="0" fontId="0" fillId="0" borderId="0"/>
  </cellStyleXfs>
  <cellXfs count="312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7" xfId="0" applyBorder="1"/>
    <xf numFmtId="0" fontId="0" fillId="0" borderId="8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7" xfId="0" applyBorder="1"/>
    <xf numFmtId="0" fontId="0" fillId="0" borderId="18" xfId="0" applyBorder="1"/>
    <xf numFmtId="0" fontId="0" fillId="0" borderId="20" xfId="0" applyBorder="1"/>
    <xf numFmtId="0" fontId="0" fillId="0" borderId="21" xfId="0" applyBorder="1"/>
    <xf numFmtId="0" fontId="0" fillId="0" borderId="0" xfId="0" applyBorder="1" applyAlignment="1"/>
    <xf numFmtId="0" fontId="2" fillId="0" borderId="0" xfId="0" applyFont="1" applyBorder="1" applyAlignment="1"/>
    <xf numFmtId="0" fontId="1" fillId="0" borderId="0" xfId="0" applyFont="1" applyBorder="1" applyAlignment="1">
      <alignment vertical="top"/>
    </xf>
    <xf numFmtId="0" fontId="7" fillId="0" borderId="0" xfId="0" applyFont="1"/>
    <xf numFmtId="0" fontId="8" fillId="0" borderId="0" xfId="0" applyFont="1"/>
    <xf numFmtId="0" fontId="2" fillId="0" borderId="0" xfId="0" applyFont="1"/>
    <xf numFmtId="2" fontId="0" fillId="0" borderId="1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1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1" fontId="0" fillId="0" borderId="12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7" fontId="0" fillId="0" borderId="1" xfId="0" applyNumberFormat="1" applyBorder="1"/>
    <xf numFmtId="167" fontId="0" fillId="0" borderId="12" xfId="0" applyNumberFormat="1" applyBorder="1"/>
    <xf numFmtId="0" fontId="5" fillId="0" borderId="0" xfId="0" applyFont="1" applyBorder="1" applyAlignment="1">
      <alignment vertical="center"/>
    </xf>
    <xf numFmtId="0" fontId="10" fillId="0" borderId="0" xfId="0" applyFont="1" applyBorder="1" applyAlignment="1">
      <alignment horizontal="left" vertical="center"/>
    </xf>
    <xf numFmtId="0" fontId="5" fillId="0" borderId="0" xfId="0" applyFont="1" applyAlignment="1">
      <alignment horizontal="right"/>
    </xf>
    <xf numFmtId="0" fontId="0" fillId="0" borderId="0" xfId="0" applyAlignment="1">
      <alignment vertical="center"/>
    </xf>
    <xf numFmtId="0" fontId="0" fillId="0" borderId="28" xfId="0" applyBorder="1"/>
    <xf numFmtId="164" fontId="0" fillId="0" borderId="1" xfId="0" applyNumberFormat="1" applyBorder="1"/>
    <xf numFmtId="0" fontId="0" fillId="0" borderId="8" xfId="0" applyBorder="1" applyAlignment="1"/>
    <xf numFmtId="0" fontId="0" fillId="0" borderId="20" xfId="0" applyBorder="1" applyAlignment="1"/>
    <xf numFmtId="0" fontId="5" fillId="0" borderId="0" xfId="0" applyFont="1" applyBorder="1" applyAlignment="1"/>
    <xf numFmtId="0" fontId="0" fillId="0" borderId="19" xfId="0" applyBorder="1" applyAlignment="1"/>
    <xf numFmtId="0" fontId="0" fillId="0" borderId="20" xfId="0" applyBorder="1" applyAlignment="1"/>
    <xf numFmtId="1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12" fillId="0" borderId="15" xfId="0" applyFont="1" applyBorder="1" applyAlignment="1">
      <alignment horizontal="right"/>
    </xf>
    <xf numFmtId="0" fontId="0" fillId="0" borderId="28" xfId="0" applyBorder="1" applyAlignment="1"/>
    <xf numFmtId="0" fontId="0" fillId="0" borderId="27" xfId="0" applyBorder="1"/>
    <xf numFmtId="0" fontId="0" fillId="0" borderId="18" xfId="0" applyBorder="1" applyAlignment="1">
      <alignment horizontal="center"/>
    </xf>
    <xf numFmtId="168" fontId="11" fillId="0" borderId="0" xfId="0" applyNumberFormat="1" applyFont="1" applyBorder="1" applyAlignment="1"/>
    <xf numFmtId="0" fontId="6" fillId="0" borderId="0" xfId="0" applyFont="1" applyBorder="1" applyAlignment="1">
      <alignment horizontal="right"/>
    </xf>
    <xf numFmtId="0" fontId="6" fillId="0" borderId="0" xfId="0" applyFont="1" applyBorder="1" applyAlignment="1"/>
    <xf numFmtId="0" fontId="7" fillId="0" borderId="0" xfId="0" applyFont="1" applyBorder="1" applyAlignment="1" applyProtection="1">
      <alignment horizontal="right"/>
    </xf>
    <xf numFmtId="2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12" fillId="0" borderId="0" xfId="0" applyFont="1" applyBorder="1" applyAlignment="1">
      <alignment vertical="center" wrapText="1"/>
    </xf>
    <xf numFmtId="0" fontId="0" fillId="0" borderId="0" xfId="0" applyBorder="1" applyAlignment="1"/>
    <xf numFmtId="0" fontId="8" fillId="0" borderId="0" xfId="0" applyFont="1" applyBorder="1" applyAlignment="1"/>
    <xf numFmtId="0" fontId="16" fillId="0" borderId="0" xfId="0" applyFont="1" applyBorder="1" applyAlignment="1">
      <alignment horizontal="right"/>
    </xf>
    <xf numFmtId="166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 wrapText="1"/>
    </xf>
    <xf numFmtId="167" fontId="0" fillId="0" borderId="28" xfId="0" applyNumberFormat="1" applyBorder="1" applyAlignment="1">
      <alignment horizontal="center"/>
    </xf>
    <xf numFmtId="0" fontId="0" fillId="0" borderId="36" xfId="0" applyBorder="1"/>
    <xf numFmtId="0" fontId="12" fillId="0" borderId="15" xfId="0" applyFont="1" applyBorder="1" applyAlignment="1">
      <alignment horizontal="right" wrapText="1"/>
    </xf>
    <xf numFmtId="166" fontId="0" fillId="0" borderId="4" xfId="0" applyNumberFormat="1" applyBorder="1" applyAlignment="1">
      <alignment horizontal="center"/>
    </xf>
    <xf numFmtId="167" fontId="0" fillId="0" borderId="4" xfId="0" applyNumberFormat="1" applyBorder="1"/>
    <xf numFmtId="1" fontId="0" fillId="0" borderId="38" xfId="0" applyNumberFormat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166" fontId="0" fillId="0" borderId="38" xfId="0" applyNumberFormat="1" applyBorder="1" applyAlignment="1">
      <alignment horizontal="center"/>
    </xf>
    <xf numFmtId="167" fontId="0" fillId="0" borderId="38" xfId="0" applyNumberFormat="1" applyBorder="1"/>
    <xf numFmtId="0" fontId="0" fillId="0" borderId="39" xfId="0" applyBorder="1"/>
    <xf numFmtId="0" fontId="0" fillId="0" borderId="40" xfId="0" applyBorder="1"/>
    <xf numFmtId="0" fontId="0" fillId="0" borderId="40" xfId="0" applyBorder="1" applyAlignment="1"/>
    <xf numFmtId="0" fontId="6" fillId="0" borderId="40" xfId="0" applyFont="1" applyBorder="1" applyAlignment="1"/>
    <xf numFmtId="0" fontId="0" fillId="0" borderId="41" xfId="0" applyBorder="1"/>
    <xf numFmtId="0" fontId="12" fillId="0" borderId="16" xfId="0" applyFont="1" applyBorder="1" applyAlignment="1">
      <alignment horizontal="right"/>
    </xf>
    <xf numFmtId="1" fontId="0" fillId="0" borderId="47" xfId="0" applyNumberFormat="1" applyBorder="1" applyAlignment="1">
      <alignment horizontal="center"/>
    </xf>
    <xf numFmtId="0" fontId="0" fillId="0" borderId="48" xfId="0" applyBorder="1"/>
    <xf numFmtId="0" fontId="0" fillId="0" borderId="7" xfId="0" applyBorder="1" applyAlignment="1"/>
    <xf numFmtId="0" fontId="0" fillId="0" borderId="21" xfId="0" applyBorder="1" applyAlignment="1"/>
    <xf numFmtId="0" fontId="8" fillId="0" borderId="28" xfId="0" applyFont="1" applyBorder="1"/>
    <xf numFmtId="0" fontId="2" fillId="0" borderId="20" xfId="0" applyFont="1" applyFill="1" applyBorder="1" applyAlignment="1">
      <alignment wrapText="1"/>
    </xf>
    <xf numFmtId="0" fontId="0" fillId="3" borderId="27" xfId="0" applyFill="1" applyBorder="1"/>
    <xf numFmtId="0" fontId="7" fillId="3" borderId="18" xfId="0" applyFont="1" applyFill="1" applyBorder="1" applyAlignment="1">
      <alignment horizontal="center" vertical="center"/>
    </xf>
    <xf numFmtId="0" fontId="7" fillId="3" borderId="19" xfId="0" applyFont="1" applyFill="1" applyBorder="1" applyAlignment="1">
      <alignment horizontal="center" vertical="center"/>
    </xf>
    <xf numFmtId="0" fontId="7" fillId="3" borderId="18" xfId="0" applyFont="1" applyFill="1" applyBorder="1" applyAlignment="1">
      <alignment horizontal="center" vertical="center" wrapText="1"/>
    </xf>
    <xf numFmtId="0" fontId="2" fillId="0" borderId="44" xfId="0" applyFont="1" applyBorder="1" applyAlignment="1">
      <alignment horizontal="center"/>
    </xf>
    <xf numFmtId="0" fontId="6" fillId="6" borderId="0" xfId="0" applyFont="1" applyFill="1"/>
    <xf numFmtId="0" fontId="0" fillId="6" borderId="0" xfId="0" applyFill="1"/>
    <xf numFmtId="0" fontId="0" fillId="6" borderId="0" xfId="0" applyFill="1" applyBorder="1"/>
    <xf numFmtId="0" fontId="7" fillId="0" borderId="0" xfId="0" applyFont="1" applyBorder="1" applyAlignment="1">
      <alignment horizontal="left" wrapText="1"/>
    </xf>
    <xf numFmtId="0" fontId="0" fillId="0" borderId="4" xfId="0" applyBorder="1" applyAlignment="1"/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center" wrapText="1"/>
    </xf>
    <xf numFmtId="0" fontId="6" fillId="0" borderId="3" xfId="0" applyFont="1" applyBorder="1" applyAlignment="1">
      <alignment horizontal="left"/>
    </xf>
    <xf numFmtId="0" fontId="5" fillId="0" borderId="18" xfId="0" applyFont="1" applyBorder="1" applyAlignment="1">
      <alignment horizontal="center"/>
    </xf>
    <xf numFmtId="0" fontId="0" fillId="0" borderId="54" xfId="0" applyBorder="1"/>
    <xf numFmtId="0" fontId="5" fillId="0" borderId="11" xfId="0" applyFont="1" applyBorder="1" applyAlignment="1"/>
    <xf numFmtId="0" fontId="11" fillId="2" borderId="55" xfId="0" applyFont="1" applyFill="1" applyBorder="1" applyAlignment="1"/>
    <xf numFmtId="2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0" fontId="5" fillId="0" borderId="15" xfId="0" applyFont="1" applyBorder="1" applyAlignment="1">
      <alignment wrapText="1"/>
    </xf>
    <xf numFmtId="0" fontId="11" fillId="2" borderId="16" xfId="0" applyFont="1" applyFill="1" applyBorder="1" applyAlignment="1"/>
    <xf numFmtId="0" fontId="5" fillId="0" borderId="0" xfId="0" applyFont="1" applyBorder="1" applyAlignment="1">
      <alignment horizontal="center"/>
    </xf>
    <xf numFmtId="0" fontId="0" fillId="0" borderId="57" xfId="0" applyBorder="1"/>
    <xf numFmtId="1" fontId="0" fillId="0" borderId="10" xfId="0" applyNumberFormat="1" applyBorder="1" applyAlignment="1">
      <alignment horizontal="center"/>
    </xf>
    <xf numFmtId="0" fontId="1" fillId="0" borderId="8" xfId="0" applyFont="1" applyBorder="1" applyAlignment="1">
      <alignment vertical="top"/>
    </xf>
    <xf numFmtId="164" fontId="5" fillId="0" borderId="20" xfId="0" applyNumberFormat="1" applyFont="1" applyBorder="1" applyAlignment="1">
      <alignment horizontal="center" vertical="center"/>
    </xf>
    <xf numFmtId="164" fontId="5" fillId="0" borderId="21" xfId="0" applyNumberFormat="1" applyFont="1" applyBorder="1" applyAlignment="1">
      <alignment horizontal="center" vertical="center"/>
    </xf>
    <xf numFmtId="0" fontId="0" fillId="5" borderId="0" xfId="0" applyFill="1" applyBorder="1"/>
    <xf numFmtId="2" fontId="20" fillId="4" borderId="46" xfId="0" applyNumberFormat="1" applyFont="1" applyFill="1" applyBorder="1" applyAlignment="1">
      <alignment vertical="center" wrapText="1"/>
    </xf>
    <xf numFmtId="0" fontId="12" fillId="0" borderId="15" xfId="0" applyFont="1" applyFill="1" applyBorder="1" applyAlignment="1">
      <alignment horizontal="right"/>
    </xf>
    <xf numFmtId="0" fontId="6" fillId="9" borderId="0" xfId="0" applyFont="1" applyFill="1" applyBorder="1" applyAlignment="1">
      <alignment horizontal="left"/>
    </xf>
    <xf numFmtId="0" fontId="0" fillId="9" borderId="3" xfId="0" applyFill="1" applyBorder="1"/>
    <xf numFmtId="0" fontId="0" fillId="9" borderId="3" xfId="0" applyFill="1" applyBorder="1" applyAlignment="1"/>
    <xf numFmtId="0" fontId="8" fillId="9" borderId="0" xfId="0" applyFont="1" applyFill="1"/>
    <xf numFmtId="0" fontId="2" fillId="9" borderId="3" xfId="0" applyFont="1" applyFill="1" applyBorder="1" applyAlignment="1"/>
    <xf numFmtId="0" fontId="5" fillId="9" borderId="0" xfId="0" applyFont="1" applyFill="1" applyAlignment="1">
      <alignment horizontal="right"/>
    </xf>
    <xf numFmtId="0" fontId="0" fillId="9" borderId="0" xfId="0" applyFill="1" applyBorder="1"/>
    <xf numFmtId="0" fontId="0" fillId="0" borderId="0" xfId="0" applyAlignment="1">
      <alignment wrapText="1"/>
    </xf>
    <xf numFmtId="0" fontId="0" fillId="12" borderId="0" xfId="0" applyFill="1"/>
    <xf numFmtId="0" fontId="0" fillId="9" borderId="0" xfId="0" applyFill="1" applyBorder="1" applyAlignment="1"/>
    <xf numFmtId="164" fontId="0" fillId="0" borderId="36" xfId="0" applyNumberFormat="1" applyBorder="1"/>
    <xf numFmtId="164" fontId="0" fillId="0" borderId="13" xfId="0" applyNumberFormat="1" applyBorder="1"/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wrapText="1"/>
    </xf>
    <xf numFmtId="22" fontId="0" fillId="0" borderId="8" xfId="0" applyNumberFormat="1" applyBorder="1"/>
    <xf numFmtId="0" fontId="2" fillId="0" borderId="18" xfId="0" applyFont="1" applyBorder="1"/>
    <xf numFmtId="0" fontId="0" fillId="13" borderId="28" xfId="0" applyFill="1" applyBorder="1"/>
    <xf numFmtId="0" fontId="0" fillId="13" borderId="7" xfId="0" applyFill="1" applyBorder="1"/>
    <xf numFmtId="0" fontId="0" fillId="0" borderId="76" xfId="0" applyBorder="1"/>
    <xf numFmtId="164" fontId="5" fillId="0" borderId="52" xfId="0" applyNumberFormat="1" applyFont="1" applyBorder="1" applyAlignment="1">
      <alignment horizontal="center" vertical="center"/>
    </xf>
    <xf numFmtId="164" fontId="5" fillId="0" borderId="51" xfId="0" applyNumberFormat="1" applyFont="1" applyBorder="1" applyAlignment="1">
      <alignment horizontal="center" vertical="center"/>
    </xf>
    <xf numFmtId="164" fontId="5" fillId="0" borderId="53" xfId="0" applyNumberFormat="1" applyFont="1" applyBorder="1" applyAlignment="1">
      <alignment horizontal="center" vertical="center"/>
    </xf>
    <xf numFmtId="0" fontId="0" fillId="0" borderId="29" xfId="0" applyBorder="1"/>
    <xf numFmtId="0" fontId="0" fillId="0" borderId="25" xfId="0" applyBorder="1"/>
    <xf numFmtId="0" fontId="0" fillId="0" borderId="24" xfId="0" applyBorder="1"/>
    <xf numFmtId="0" fontId="0" fillId="13" borderId="28" xfId="0" applyFill="1" applyBorder="1" applyAlignment="1"/>
    <xf numFmtId="2" fontId="0" fillId="0" borderId="4" xfId="0" applyNumberFormat="1" applyBorder="1" applyAlignment="1"/>
    <xf numFmtId="165" fontId="0" fillId="0" borderId="4" xfId="0" applyNumberFormat="1" applyBorder="1" applyAlignment="1"/>
    <xf numFmtId="0" fontId="0" fillId="0" borderId="17" xfId="0" applyBorder="1" applyAlignment="1"/>
    <xf numFmtId="1" fontId="0" fillId="0" borderId="22" xfId="0" applyNumberFormat="1" applyBorder="1" applyAlignment="1"/>
    <xf numFmtId="167" fontId="0" fillId="0" borderId="4" xfId="0" applyNumberFormat="1" applyBorder="1" applyAlignment="1"/>
    <xf numFmtId="164" fontId="5" fillId="0" borderId="20" xfId="0" applyNumberFormat="1" applyFont="1" applyBorder="1" applyAlignment="1">
      <alignment vertical="center"/>
    </xf>
    <xf numFmtId="0" fontId="0" fillId="0" borderId="13" xfId="0" applyBorder="1" applyAlignment="1"/>
    <xf numFmtId="0" fontId="0" fillId="0" borderId="14" xfId="0" applyBorder="1" applyAlignment="1"/>
    <xf numFmtId="1" fontId="0" fillId="0" borderId="4" xfId="0" applyNumberFormat="1" applyBorder="1" applyAlignment="1"/>
    <xf numFmtId="166" fontId="0" fillId="0" borderId="15" xfId="0" applyNumberFormat="1" applyBorder="1" applyAlignment="1"/>
    <xf numFmtId="166" fontId="0" fillId="0" borderId="4" xfId="0" applyNumberFormat="1" applyBorder="1" applyAlignment="1"/>
    <xf numFmtId="0" fontId="0" fillId="0" borderId="1" xfId="0" applyBorder="1" applyAlignment="1"/>
    <xf numFmtId="0" fontId="0" fillId="0" borderId="12" xfId="0" applyBorder="1" applyAlignment="1"/>
    <xf numFmtId="2" fontId="0" fillId="0" borderId="15" xfId="0" applyNumberFormat="1" applyBorder="1" applyAlignment="1"/>
    <xf numFmtId="165" fontId="0" fillId="0" borderId="15" xfId="0" applyNumberFormat="1" applyBorder="1" applyAlignment="1"/>
    <xf numFmtId="0" fontId="0" fillId="0" borderId="49" xfId="0" applyBorder="1"/>
    <xf numFmtId="0" fontId="13" fillId="0" borderId="0" xfId="0" applyFont="1" applyAlignment="1">
      <alignment wrapText="1"/>
    </xf>
    <xf numFmtId="0" fontId="10" fillId="13" borderId="28" xfId="0" applyFont="1" applyFill="1" applyBorder="1" applyAlignment="1">
      <alignment horizontal="left"/>
    </xf>
    <xf numFmtId="0" fontId="0" fillId="0" borderId="67" xfId="0" applyBorder="1"/>
    <xf numFmtId="1" fontId="0" fillId="0" borderId="78" xfId="0" applyNumberFormat="1" applyBorder="1" applyAlignment="1">
      <alignment horizontal="center"/>
    </xf>
    <xf numFmtId="0" fontId="10" fillId="0" borderId="79" xfId="0" applyFont="1" applyBorder="1" applyAlignment="1">
      <alignment horizontal="left" vertical="center"/>
    </xf>
    <xf numFmtId="0" fontId="10" fillId="0" borderId="71" xfId="0" applyFont="1" applyBorder="1" applyAlignment="1">
      <alignment horizontal="left" vertical="center"/>
    </xf>
    <xf numFmtId="0" fontId="1" fillId="0" borderId="56" xfId="0" applyFont="1" applyBorder="1" applyAlignment="1">
      <alignment vertical="top"/>
    </xf>
    <xf numFmtId="0" fontId="0" fillId="5" borderId="8" xfId="0" applyFill="1" applyBorder="1"/>
    <xf numFmtId="0" fontId="12" fillId="0" borderId="37" xfId="0" applyFont="1" applyBorder="1" applyAlignment="1">
      <alignment horizontal="right"/>
    </xf>
    <xf numFmtId="0" fontId="0" fillId="0" borderId="45" xfId="0" applyBorder="1" applyAlignment="1">
      <alignment horizontal="center"/>
    </xf>
    <xf numFmtId="0" fontId="21" fillId="0" borderId="20" xfId="0" applyFont="1" applyBorder="1" applyAlignment="1">
      <alignment horizontal="right"/>
    </xf>
    <xf numFmtId="0" fontId="5" fillId="0" borderId="3" xfId="0" applyFont="1" applyBorder="1" applyAlignment="1"/>
    <xf numFmtId="0" fontId="8" fillId="12" borderId="0" xfId="0" applyFont="1" applyFill="1" applyBorder="1" applyAlignment="1"/>
    <xf numFmtId="0" fontId="0" fillId="12" borderId="0" xfId="0" applyFill="1" applyBorder="1" applyAlignment="1"/>
    <xf numFmtId="0" fontId="0" fillId="12" borderId="77" xfId="0" applyFill="1" applyBorder="1" applyAlignment="1"/>
    <xf numFmtId="0" fontId="0" fillId="12" borderId="77" xfId="0" applyFill="1" applyBorder="1"/>
    <xf numFmtId="0" fontId="6" fillId="12" borderId="0" xfId="0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2" fillId="0" borderId="0" xfId="0" applyFont="1" applyBorder="1" applyAlignment="1">
      <alignment horizontal="right" vertical="center"/>
    </xf>
    <xf numFmtId="0" fontId="12" fillId="0" borderId="0" xfId="0" applyFont="1" applyFill="1" applyBorder="1" applyAlignment="1">
      <alignment horizontal="right" vertical="center"/>
    </xf>
    <xf numFmtId="0" fontId="12" fillId="0" borderId="0" xfId="0" applyFont="1" applyBorder="1" applyAlignment="1">
      <alignment horizontal="right" vertical="center" wrapText="1"/>
    </xf>
    <xf numFmtId="0" fontId="0" fillId="0" borderId="15" xfId="0" applyNumberFormat="1" applyBorder="1" applyAlignment="1">
      <alignment horizontal="center"/>
    </xf>
    <xf numFmtId="0" fontId="6" fillId="0" borderId="20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22" fontId="0" fillId="0" borderId="0" xfId="0" applyNumberFormat="1"/>
    <xf numFmtId="1" fontId="0" fillId="0" borderId="15" xfId="0" applyNumberFormat="1" applyBorder="1" applyAlignment="1">
      <alignment horizontal="center"/>
    </xf>
    <xf numFmtId="0" fontId="22" fillId="0" borderId="0" xfId="0" applyFont="1"/>
    <xf numFmtId="0" fontId="2" fillId="0" borderId="0" xfId="0" applyNumberFormat="1" applyFont="1"/>
    <xf numFmtId="165" fontId="0" fillId="0" borderId="0" xfId="0" applyNumberFormat="1" applyAlignment="1">
      <alignment horizontal="center" vertical="center"/>
    </xf>
    <xf numFmtId="0" fontId="12" fillId="0" borderId="23" xfId="0" applyFont="1" applyBorder="1" applyAlignment="1">
      <alignment horizontal="right" vertical="center"/>
    </xf>
    <xf numFmtId="0" fontId="12" fillId="0" borderId="26" xfId="0" applyFont="1" applyBorder="1" applyAlignment="1">
      <alignment horizontal="right" vertical="center"/>
    </xf>
    <xf numFmtId="0" fontId="12" fillId="0" borderId="75" xfId="0" applyFont="1" applyBorder="1" applyAlignment="1">
      <alignment horizontal="right" vertical="center"/>
    </xf>
    <xf numFmtId="0" fontId="12" fillId="0" borderId="58" xfId="0" applyFont="1" applyBorder="1" applyAlignment="1">
      <alignment horizontal="right" vertical="center"/>
    </xf>
    <xf numFmtId="0" fontId="12" fillId="0" borderId="23" xfId="0" applyFont="1" applyFill="1" applyBorder="1" applyAlignment="1">
      <alignment horizontal="right" vertical="center"/>
    </xf>
    <xf numFmtId="0" fontId="12" fillId="0" borderId="26" xfId="0" applyFont="1" applyFill="1" applyBorder="1" applyAlignment="1">
      <alignment horizontal="right" vertical="center"/>
    </xf>
    <xf numFmtId="0" fontId="12" fillId="0" borderId="23" xfId="0" applyFont="1" applyBorder="1" applyAlignment="1">
      <alignment horizontal="right" vertical="center" wrapText="1"/>
    </xf>
    <xf numFmtId="0" fontId="12" fillId="0" borderId="26" xfId="0" applyFont="1" applyBorder="1" applyAlignment="1">
      <alignment horizontal="right" vertical="center" wrapText="1"/>
    </xf>
    <xf numFmtId="0" fontId="7" fillId="0" borderId="49" xfId="0" applyFont="1" applyBorder="1" applyAlignment="1">
      <alignment horizontal="left"/>
    </xf>
    <xf numFmtId="0" fontId="19" fillId="12" borderId="27" xfId="0" applyFont="1" applyFill="1" applyBorder="1" applyAlignment="1">
      <alignment horizontal="center" wrapText="1"/>
    </xf>
    <xf numFmtId="0" fontId="19" fillId="12" borderId="28" xfId="0" applyFont="1" applyFill="1" applyBorder="1" applyAlignment="1">
      <alignment horizontal="center" wrapText="1"/>
    </xf>
    <xf numFmtId="0" fontId="19" fillId="12" borderId="18" xfId="0" applyFont="1" applyFill="1" applyBorder="1" applyAlignment="1">
      <alignment horizontal="center" wrapText="1"/>
    </xf>
    <xf numFmtId="0" fontId="19" fillId="12" borderId="0" xfId="0" applyFont="1" applyFill="1" applyBorder="1" applyAlignment="1">
      <alignment horizontal="center" wrapText="1"/>
    </xf>
    <xf numFmtId="0" fontId="0" fillId="0" borderId="59" xfId="0" applyBorder="1" applyAlignment="1">
      <alignment horizontal="center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70" xfId="0" applyBorder="1" applyAlignment="1"/>
    <xf numFmtId="0" fontId="0" fillId="0" borderId="8" xfId="0" applyBorder="1" applyAlignment="1"/>
    <xf numFmtId="0" fontId="0" fillId="0" borderId="73" xfId="0" applyBorder="1" applyAlignment="1"/>
    <xf numFmtId="0" fontId="0" fillId="0" borderId="21" xfId="0" applyBorder="1" applyAlignment="1"/>
    <xf numFmtId="0" fontId="0" fillId="0" borderId="72" xfId="0" applyBorder="1" applyAlignment="1"/>
    <xf numFmtId="0" fontId="0" fillId="0" borderId="7" xfId="0" applyBorder="1" applyAlignment="1"/>
    <xf numFmtId="0" fontId="15" fillId="11" borderId="62" xfId="0" applyFont="1" applyFill="1" applyBorder="1" applyAlignment="1">
      <alignment horizontal="center"/>
    </xf>
    <xf numFmtId="0" fontId="15" fillId="11" borderId="63" xfId="0" applyFont="1" applyFill="1" applyBorder="1" applyAlignment="1">
      <alignment horizontal="center"/>
    </xf>
    <xf numFmtId="0" fontId="15" fillId="11" borderId="64" xfId="0" applyFont="1" applyFill="1" applyBorder="1" applyAlignment="1">
      <alignment horizontal="center"/>
    </xf>
    <xf numFmtId="0" fontId="0" fillId="0" borderId="65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4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6" xfId="0" applyBorder="1" applyAlignment="1"/>
    <xf numFmtId="0" fontId="0" fillId="0" borderId="4" xfId="0" applyBorder="1" applyAlignment="1"/>
    <xf numFmtId="0" fontId="0" fillId="0" borderId="69" xfId="0" applyBorder="1"/>
    <xf numFmtId="0" fontId="0" fillId="0" borderId="17" xfId="0" applyBorder="1"/>
    <xf numFmtId="0" fontId="2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0" fontId="0" fillId="0" borderId="6" xfId="0" applyBorder="1"/>
    <xf numFmtId="0" fontId="0" fillId="0" borderId="4" xfId="0" applyBorder="1"/>
    <xf numFmtId="168" fontId="5" fillId="0" borderId="76" xfId="0" applyNumberFormat="1" applyFont="1" applyBorder="1" applyAlignment="1">
      <alignment horizontal="center"/>
    </xf>
    <xf numFmtId="168" fontId="2" fillId="0" borderId="76" xfId="0" applyNumberFormat="1" applyFont="1" applyBorder="1" applyAlignment="1"/>
    <xf numFmtId="0" fontId="5" fillId="0" borderId="3" xfId="0" applyFont="1" applyBorder="1" applyAlignment="1">
      <alignment horizontal="center"/>
    </xf>
    <xf numFmtId="0" fontId="8" fillId="12" borderId="0" xfId="0" applyFont="1" applyFill="1" applyBorder="1" applyAlignment="1">
      <alignment horizontal="center"/>
    </xf>
    <xf numFmtId="2" fontId="16" fillId="10" borderId="27" xfId="0" applyNumberFormat="1" applyFont="1" applyFill="1" applyBorder="1" applyAlignment="1">
      <alignment horizontal="center" vertical="center" wrapText="1"/>
    </xf>
    <xf numFmtId="2" fontId="16" fillId="10" borderId="71" xfId="0" applyNumberFormat="1" applyFont="1" applyFill="1" applyBorder="1" applyAlignment="1">
      <alignment horizontal="center" vertical="center" wrapText="1"/>
    </xf>
    <xf numFmtId="2" fontId="16" fillId="10" borderId="18" xfId="0" applyNumberFormat="1" applyFont="1" applyFill="1" applyBorder="1" applyAlignment="1">
      <alignment horizontal="center" vertical="center" wrapText="1"/>
    </xf>
    <xf numFmtId="2" fontId="16" fillId="10" borderId="51" xfId="0" applyNumberFormat="1" applyFont="1" applyFill="1" applyBorder="1" applyAlignment="1">
      <alignment horizontal="center" vertical="center" wrapText="1"/>
    </xf>
    <xf numFmtId="2" fontId="16" fillId="10" borderId="19" xfId="0" applyNumberFormat="1" applyFont="1" applyFill="1" applyBorder="1" applyAlignment="1">
      <alignment horizontal="center" vertical="center" wrapText="1"/>
    </xf>
    <xf numFmtId="2" fontId="16" fillId="10" borderId="30" xfId="0" applyNumberFormat="1" applyFont="1" applyFill="1" applyBorder="1" applyAlignment="1">
      <alignment horizontal="center" vertical="center" wrapText="1"/>
    </xf>
    <xf numFmtId="2" fontId="16" fillId="14" borderId="27" xfId="0" applyNumberFormat="1" applyFont="1" applyFill="1" applyBorder="1" applyAlignment="1">
      <alignment horizontal="center" vertical="center" wrapText="1"/>
    </xf>
    <xf numFmtId="2" fontId="16" fillId="14" borderId="71" xfId="0" applyNumberFormat="1" applyFont="1" applyFill="1" applyBorder="1" applyAlignment="1">
      <alignment horizontal="center" vertical="center" wrapText="1"/>
    </xf>
    <xf numFmtId="2" fontId="16" fillId="14" borderId="18" xfId="0" applyNumberFormat="1" applyFont="1" applyFill="1" applyBorder="1" applyAlignment="1">
      <alignment horizontal="center" vertical="center" wrapText="1"/>
    </xf>
    <xf numFmtId="2" fontId="16" fillId="14" borderId="51" xfId="0" applyNumberFormat="1" applyFont="1" applyFill="1" applyBorder="1" applyAlignment="1">
      <alignment horizontal="center" vertical="center" wrapText="1"/>
    </xf>
    <xf numFmtId="2" fontId="16" fillId="14" borderId="19" xfId="0" applyNumberFormat="1" applyFont="1" applyFill="1" applyBorder="1" applyAlignment="1">
      <alignment horizontal="center" vertical="center" wrapText="1"/>
    </xf>
    <xf numFmtId="2" fontId="16" fillId="14" borderId="30" xfId="0" applyNumberFormat="1" applyFont="1" applyFill="1" applyBorder="1" applyAlignment="1">
      <alignment horizontal="center" vertical="center" wrapText="1"/>
    </xf>
    <xf numFmtId="1" fontId="0" fillId="0" borderId="68" xfId="0" applyNumberFormat="1" applyBorder="1" applyAlignment="1">
      <alignment horizontal="center"/>
    </xf>
    <xf numFmtId="1" fontId="0" fillId="0" borderId="22" xfId="0" applyNumberFormat="1" applyBorder="1" applyAlignment="1">
      <alignment horizontal="center"/>
    </xf>
    <xf numFmtId="167" fontId="0" fillId="0" borderId="6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164" fontId="5" fillId="0" borderId="2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vertical="top"/>
    </xf>
    <xf numFmtId="0" fontId="6" fillId="12" borderId="0" xfId="0" applyFont="1" applyFill="1" applyBorder="1" applyAlignment="1">
      <alignment horizontal="right" vertical="center"/>
    </xf>
    <xf numFmtId="0" fontId="6" fillId="8" borderId="27" xfId="0" applyFont="1" applyFill="1" applyBorder="1" applyAlignment="1">
      <alignment horizontal="center"/>
    </xf>
    <xf numFmtId="0" fontId="6" fillId="8" borderId="28" xfId="0" applyFont="1" applyFill="1" applyBorder="1" applyAlignment="1">
      <alignment horizontal="center"/>
    </xf>
    <xf numFmtId="0" fontId="6" fillId="8" borderId="7" xfId="0" applyFont="1" applyFill="1" applyBorder="1" applyAlignment="1">
      <alignment horizontal="center"/>
    </xf>
    <xf numFmtId="168" fontId="5" fillId="0" borderId="0" xfId="0" applyNumberFormat="1" applyFont="1" applyBorder="1" applyAlignment="1">
      <alignment horizontal="center"/>
    </xf>
    <xf numFmtId="168" fontId="5" fillId="0" borderId="0" xfId="0" applyNumberFormat="1" applyFont="1" applyAlignment="1">
      <alignment horizontal="center"/>
    </xf>
    <xf numFmtId="168" fontId="5" fillId="0" borderId="8" xfId="0" applyNumberFormat="1" applyFont="1" applyBorder="1" applyAlignment="1">
      <alignment horizontal="center"/>
    </xf>
    <xf numFmtId="168" fontId="5" fillId="0" borderId="20" xfId="0" applyNumberFormat="1" applyFont="1" applyBorder="1" applyAlignment="1">
      <alignment horizontal="center" vertical="center"/>
    </xf>
    <xf numFmtId="168" fontId="5" fillId="0" borderId="21" xfId="0" applyNumberFormat="1" applyFont="1" applyBorder="1" applyAlignment="1">
      <alignment horizontal="center" vertical="center"/>
    </xf>
    <xf numFmtId="0" fontId="0" fillId="0" borderId="32" xfId="0" applyBorder="1" applyAlignment="1"/>
    <xf numFmtId="0" fontId="0" fillId="0" borderId="5" xfId="0" applyBorder="1" applyAlignment="1"/>
    <xf numFmtId="0" fontId="0" fillId="0" borderId="35" xfId="0" applyBorder="1" applyAlignment="1"/>
    <xf numFmtId="0" fontId="0" fillId="0" borderId="80" xfId="0" applyBorder="1" applyAlignment="1"/>
    <xf numFmtId="0" fontId="0" fillId="0" borderId="81" xfId="0" applyBorder="1" applyAlignment="1"/>
    <xf numFmtId="0" fontId="0" fillId="0" borderId="82" xfId="0" applyBorder="1" applyAlignment="1"/>
    <xf numFmtId="0" fontId="0" fillId="0" borderId="20" xfId="0" applyBorder="1" applyAlignment="1"/>
    <xf numFmtId="22" fontId="5" fillId="0" borderId="0" xfId="0" applyNumberFormat="1" applyFont="1" applyBorder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5" fillId="0" borderId="8" xfId="0" applyNumberFormat="1" applyFont="1" applyBorder="1" applyAlignment="1">
      <alignment horizontal="center" vertical="center"/>
    </xf>
    <xf numFmtId="0" fontId="17" fillId="0" borderId="20" xfId="0" applyFont="1" applyBorder="1" applyAlignment="1">
      <alignment horizontal="center"/>
    </xf>
    <xf numFmtId="0" fontId="6" fillId="5" borderId="0" xfId="0" applyFont="1" applyFill="1" applyBorder="1" applyAlignment="1">
      <alignment horizontal="center"/>
    </xf>
    <xf numFmtId="2" fontId="12" fillId="5" borderId="50" xfId="0" applyNumberFormat="1" applyFont="1" applyFill="1" applyBorder="1" applyAlignment="1">
      <alignment horizontal="center" vertical="center" wrapText="1"/>
    </xf>
    <xf numFmtId="2" fontId="12" fillId="5" borderId="18" xfId="0" applyNumberFormat="1" applyFont="1" applyFill="1" applyBorder="1" applyAlignment="1">
      <alignment horizontal="center" vertical="center" wrapText="1"/>
    </xf>
    <xf numFmtId="2" fontId="12" fillId="5" borderId="19" xfId="0" applyNumberFormat="1" applyFont="1" applyFill="1" applyBorder="1" applyAlignment="1">
      <alignment horizontal="center" vertical="center" wrapText="1"/>
    </xf>
    <xf numFmtId="2" fontId="12" fillId="4" borderId="18" xfId="0" applyNumberFormat="1" applyFont="1" applyFill="1" applyBorder="1" applyAlignment="1">
      <alignment horizontal="center" vertical="center" wrapText="1"/>
    </xf>
    <xf numFmtId="0" fontId="15" fillId="7" borderId="42" xfId="0" applyFont="1" applyFill="1" applyBorder="1" applyAlignment="1">
      <alignment horizontal="center" vertical="center" wrapText="1"/>
    </xf>
    <xf numFmtId="0" fontId="15" fillId="7" borderId="43" xfId="0" applyFont="1" applyFill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 textRotation="90" wrapText="1"/>
    </xf>
    <xf numFmtId="0" fontId="18" fillId="3" borderId="18" xfId="0" applyFont="1" applyFill="1" applyBorder="1" applyAlignment="1">
      <alignment horizontal="center" vertical="center" textRotation="90" wrapText="1"/>
    </xf>
    <xf numFmtId="0" fontId="18" fillId="3" borderId="19" xfId="0" applyFont="1" applyFill="1" applyBorder="1" applyAlignment="1">
      <alignment horizontal="center" vertical="center" textRotation="90" wrapText="1"/>
    </xf>
    <xf numFmtId="0" fontId="7" fillId="0" borderId="49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0" fillId="0" borderId="18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8" xfId="0" applyBorder="1" applyAlignment="1">
      <alignment horizontal="center" wrapText="1"/>
    </xf>
    <xf numFmtId="0" fontId="0" fillId="0" borderId="28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6" fillId="0" borderId="0" xfId="0" applyFont="1" applyBorder="1" applyAlignment="1">
      <alignment horizontal="center" vertical="top"/>
    </xf>
    <xf numFmtId="0" fontId="2" fillId="0" borderId="28" xfId="0" applyFont="1" applyBorder="1" applyAlignment="1">
      <alignment horizontal="right"/>
    </xf>
    <xf numFmtId="0" fontId="2" fillId="0" borderId="28" xfId="0" applyFont="1" applyBorder="1" applyAlignment="1"/>
    <xf numFmtId="0" fontId="8" fillId="0" borderId="0" xfId="0" applyFont="1" applyBorder="1" applyAlignment="1"/>
    <xf numFmtId="0" fontId="0" fillId="0" borderId="0" xfId="0" applyBorder="1" applyAlignment="1"/>
    <xf numFmtId="0" fontId="11" fillId="0" borderId="0" xfId="0" applyFont="1" applyBorder="1" applyAlignment="1">
      <alignment horizontal="left" wrapText="1"/>
    </xf>
    <xf numFmtId="0" fontId="0" fillId="0" borderId="0" xfId="0" applyAlignment="1"/>
    <xf numFmtId="0" fontId="0" fillId="0" borderId="33" xfId="0" applyBorder="1" applyAlignment="1"/>
    <xf numFmtId="0" fontId="0" fillId="0" borderId="31" xfId="0" applyBorder="1" applyAlignment="1"/>
    <xf numFmtId="0" fontId="0" fillId="0" borderId="34" xfId="0" applyBorder="1" applyAlignment="1"/>
    <xf numFmtId="0" fontId="0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65" fontId="0" fillId="0" borderId="15" xfId="0" applyNumberForma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AEAEA"/>
      <color rgb="FF666699"/>
      <color rgb="FFFF99CC"/>
      <color rgb="FF99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13" Type="http://schemas.openxmlformats.org/officeDocument/2006/relationships/image" Target="../media/image9.emf"/><Relationship Id="rId3" Type="http://schemas.openxmlformats.org/officeDocument/2006/relationships/image" Target="../media/image18.emf"/><Relationship Id="rId7" Type="http://schemas.openxmlformats.org/officeDocument/2006/relationships/image" Target="../media/image14.emf"/><Relationship Id="rId12" Type="http://schemas.openxmlformats.org/officeDocument/2006/relationships/image" Target="../media/image10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11" Type="http://schemas.openxmlformats.org/officeDocument/2006/relationships/image" Target="../media/image7.emf"/><Relationship Id="rId5" Type="http://schemas.openxmlformats.org/officeDocument/2006/relationships/image" Target="../media/image16.emf"/><Relationship Id="rId10" Type="http://schemas.openxmlformats.org/officeDocument/2006/relationships/image" Target="../media/image11.emf"/><Relationship Id="rId4" Type="http://schemas.openxmlformats.org/officeDocument/2006/relationships/image" Target="../media/image17.emf"/><Relationship Id="rId9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6</xdr:row>
          <xdr:rowOff>66675</xdr:rowOff>
        </xdr:from>
        <xdr:to>
          <xdr:col>3</xdr:col>
          <xdr:colOff>504825</xdr:colOff>
          <xdr:row>6</xdr:row>
          <xdr:rowOff>323850</xdr:rowOff>
        </xdr:to>
        <xdr:sp macro="" textlink="">
          <xdr:nvSpPr>
            <xdr:cNvPr id="7169" name="Vintag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7</xdr:row>
          <xdr:rowOff>57150</xdr:rowOff>
        </xdr:from>
        <xdr:to>
          <xdr:col>4</xdr:col>
          <xdr:colOff>266700</xdr:colOff>
          <xdr:row>7</xdr:row>
          <xdr:rowOff>314325</xdr:rowOff>
        </xdr:to>
        <xdr:sp macro="" textlink="">
          <xdr:nvSpPr>
            <xdr:cNvPr id="7170" name="Brand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8</xdr:row>
          <xdr:rowOff>57150</xdr:rowOff>
        </xdr:from>
        <xdr:to>
          <xdr:col>4</xdr:col>
          <xdr:colOff>447675</xdr:colOff>
          <xdr:row>8</xdr:row>
          <xdr:rowOff>323850</xdr:rowOff>
        </xdr:to>
        <xdr:sp macro="" textlink="">
          <xdr:nvSpPr>
            <xdr:cNvPr id="7171" name="Varietal" descr="Varietal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31</xdr:row>
          <xdr:rowOff>114300</xdr:rowOff>
        </xdr:from>
        <xdr:to>
          <xdr:col>11</xdr:col>
          <xdr:colOff>419100</xdr:colOff>
          <xdr:row>32</xdr:row>
          <xdr:rowOff>19050</xdr:rowOff>
        </xdr:to>
        <xdr:sp macro="" textlink="">
          <xdr:nvSpPr>
            <xdr:cNvPr id="7172" name="ComboBox6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33</xdr:row>
          <xdr:rowOff>95250</xdr:rowOff>
        </xdr:from>
        <xdr:to>
          <xdr:col>11</xdr:col>
          <xdr:colOff>390525</xdr:colOff>
          <xdr:row>34</xdr:row>
          <xdr:rowOff>0</xdr:rowOff>
        </xdr:to>
        <xdr:sp macro="" textlink="">
          <xdr:nvSpPr>
            <xdr:cNvPr id="7175" name="ComboBox3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32</xdr:row>
          <xdr:rowOff>104775</xdr:rowOff>
        </xdr:from>
        <xdr:to>
          <xdr:col>11</xdr:col>
          <xdr:colOff>400050</xdr:colOff>
          <xdr:row>33</xdr:row>
          <xdr:rowOff>9525</xdr:rowOff>
        </xdr:to>
        <xdr:sp macro="" textlink="">
          <xdr:nvSpPr>
            <xdr:cNvPr id="7176" name="ComboBox4" hidden="1">
              <a:extLst>
                <a:ext uri="{63B3BB69-23CF-44E3-9099-C40C66FF867C}">
                  <a14:compatExt spid="_x0000_s7176"/>
                </a:ext>
                <a:ext uri="{FF2B5EF4-FFF2-40B4-BE49-F238E27FC236}">
                  <a16:creationId xmlns:a16="http://schemas.microsoft.com/office/drawing/2014/main" id="{00000000-0008-0000-0000-00000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76200</xdr:rowOff>
        </xdr:from>
        <xdr:to>
          <xdr:col>6</xdr:col>
          <xdr:colOff>171450</xdr:colOff>
          <xdr:row>30</xdr:row>
          <xdr:rowOff>323850</xdr:rowOff>
        </xdr:to>
        <xdr:sp macro="" textlink="">
          <xdr:nvSpPr>
            <xdr:cNvPr id="7179" name="ComboBox8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0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66675</xdr:rowOff>
        </xdr:from>
        <xdr:to>
          <xdr:col>6</xdr:col>
          <xdr:colOff>171450</xdr:colOff>
          <xdr:row>31</xdr:row>
          <xdr:rowOff>314325</xdr:rowOff>
        </xdr:to>
        <xdr:sp macro="" textlink="">
          <xdr:nvSpPr>
            <xdr:cNvPr id="7180" name="ComboBox9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32</xdr:row>
          <xdr:rowOff>76200</xdr:rowOff>
        </xdr:from>
        <xdr:to>
          <xdr:col>6</xdr:col>
          <xdr:colOff>161925</xdr:colOff>
          <xdr:row>32</xdr:row>
          <xdr:rowOff>323850</xdr:rowOff>
        </xdr:to>
        <xdr:sp macro="" textlink="">
          <xdr:nvSpPr>
            <xdr:cNvPr id="7181" name="ComboBox10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0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66675</xdr:rowOff>
        </xdr:from>
        <xdr:to>
          <xdr:col>6</xdr:col>
          <xdr:colOff>171450</xdr:colOff>
          <xdr:row>33</xdr:row>
          <xdr:rowOff>314325</xdr:rowOff>
        </xdr:to>
        <xdr:sp macro="" textlink="">
          <xdr:nvSpPr>
            <xdr:cNvPr id="7182" name="ComboBox11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0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34</xdr:row>
          <xdr:rowOff>57150</xdr:rowOff>
        </xdr:from>
        <xdr:to>
          <xdr:col>6</xdr:col>
          <xdr:colOff>161925</xdr:colOff>
          <xdr:row>34</xdr:row>
          <xdr:rowOff>304800</xdr:rowOff>
        </xdr:to>
        <xdr:sp macro="" textlink="">
          <xdr:nvSpPr>
            <xdr:cNvPr id="7183" name="ComboBox12" hidden="1">
              <a:extLst>
                <a:ext uri="{63B3BB69-23CF-44E3-9099-C40C66FF867C}">
                  <a14:compatExt spid="_x0000_s7183"/>
                </a:ext>
                <a:ext uri="{FF2B5EF4-FFF2-40B4-BE49-F238E27FC236}">
                  <a16:creationId xmlns:a16="http://schemas.microsoft.com/office/drawing/2014/main" id="{00000000-0008-0000-0000-00000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66675</xdr:rowOff>
        </xdr:from>
        <xdr:to>
          <xdr:col>6</xdr:col>
          <xdr:colOff>142875</xdr:colOff>
          <xdr:row>35</xdr:row>
          <xdr:rowOff>314325</xdr:rowOff>
        </xdr:to>
        <xdr:sp macro="" textlink="">
          <xdr:nvSpPr>
            <xdr:cNvPr id="7184" name="ComboBox13" hidden="1">
              <a:extLst>
                <a:ext uri="{63B3BB69-23CF-44E3-9099-C40C66FF867C}">
                  <a14:compatExt spid="_x0000_s7184"/>
                </a:ext>
                <a:ext uri="{FF2B5EF4-FFF2-40B4-BE49-F238E27FC236}">
                  <a16:creationId xmlns:a16="http://schemas.microsoft.com/office/drawing/2014/main" id="{00000000-0008-0000-0000-00001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</xdr:row>
          <xdr:rowOff>28575</xdr:rowOff>
        </xdr:from>
        <xdr:to>
          <xdr:col>3</xdr:col>
          <xdr:colOff>962025</xdr:colOff>
          <xdr:row>2</xdr:row>
          <xdr:rowOff>9525</xdr:rowOff>
        </xdr:to>
        <xdr:sp macro="" textlink="">
          <xdr:nvSpPr>
            <xdr:cNvPr id="7185" name="Sign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0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57150</xdr:rowOff>
        </xdr:from>
        <xdr:to>
          <xdr:col>6</xdr:col>
          <xdr:colOff>133350</xdr:colOff>
          <xdr:row>36</xdr:row>
          <xdr:rowOff>304800</xdr:rowOff>
        </xdr:to>
        <xdr:sp macro="" textlink="">
          <xdr:nvSpPr>
            <xdr:cNvPr id="7195" name="ComboBox1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0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37</xdr:row>
          <xdr:rowOff>57150</xdr:rowOff>
        </xdr:from>
        <xdr:to>
          <xdr:col>6</xdr:col>
          <xdr:colOff>142875</xdr:colOff>
          <xdr:row>37</xdr:row>
          <xdr:rowOff>304800</xdr:rowOff>
        </xdr:to>
        <xdr:sp macro="" textlink="">
          <xdr:nvSpPr>
            <xdr:cNvPr id="7196" name="ComboBox2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0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12</xdr:row>
          <xdr:rowOff>19050</xdr:rowOff>
        </xdr:from>
        <xdr:to>
          <xdr:col>0</xdr:col>
          <xdr:colOff>571500</xdr:colOff>
          <xdr:row>13</xdr:row>
          <xdr:rowOff>247650</xdr:rowOff>
        </xdr:to>
        <xdr:sp macro="" textlink="">
          <xdr:nvSpPr>
            <xdr:cNvPr id="7199" name="button_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0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3</xdr:row>
          <xdr:rowOff>47625</xdr:rowOff>
        </xdr:from>
        <xdr:to>
          <xdr:col>3</xdr:col>
          <xdr:colOff>409575</xdr:colOff>
          <xdr:row>3</xdr:row>
          <xdr:rowOff>304800</xdr:rowOff>
        </xdr:to>
        <xdr:sp macro="" textlink="">
          <xdr:nvSpPr>
            <xdr:cNvPr id="4097" name="Vintag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4</xdr:row>
          <xdr:rowOff>66675</xdr:rowOff>
        </xdr:from>
        <xdr:to>
          <xdr:col>3</xdr:col>
          <xdr:colOff>504825</xdr:colOff>
          <xdr:row>4</xdr:row>
          <xdr:rowOff>333375</xdr:rowOff>
        </xdr:to>
        <xdr:sp macro="" textlink="">
          <xdr:nvSpPr>
            <xdr:cNvPr id="4098" name="Brand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5</xdr:row>
          <xdr:rowOff>47625</xdr:rowOff>
        </xdr:from>
        <xdr:to>
          <xdr:col>4</xdr:col>
          <xdr:colOff>428625</xdr:colOff>
          <xdr:row>5</xdr:row>
          <xdr:rowOff>314325</xdr:rowOff>
        </xdr:to>
        <xdr:sp macro="" textlink="">
          <xdr:nvSpPr>
            <xdr:cNvPr id="4099" name="Varietal" descr="Varietal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15</xdr:row>
          <xdr:rowOff>76200</xdr:rowOff>
        </xdr:from>
        <xdr:to>
          <xdr:col>9</xdr:col>
          <xdr:colOff>447675</xdr:colOff>
          <xdr:row>16</xdr:row>
          <xdr:rowOff>47625</xdr:rowOff>
        </xdr:to>
        <xdr:sp macro="" textlink="">
          <xdr:nvSpPr>
            <xdr:cNvPr id="4100" name="ComboBox6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19</xdr:row>
          <xdr:rowOff>28575</xdr:rowOff>
        </xdr:from>
        <xdr:to>
          <xdr:col>9</xdr:col>
          <xdr:colOff>438150</xdr:colOff>
          <xdr:row>20</xdr:row>
          <xdr:rowOff>0</xdr:rowOff>
        </xdr:to>
        <xdr:sp macro="" textlink="">
          <xdr:nvSpPr>
            <xdr:cNvPr id="4101" name="ComboBox1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18</xdr:row>
          <xdr:rowOff>28575</xdr:rowOff>
        </xdr:from>
        <xdr:to>
          <xdr:col>9</xdr:col>
          <xdr:colOff>447675</xdr:colOff>
          <xdr:row>19</xdr:row>
          <xdr:rowOff>0</xdr:rowOff>
        </xdr:to>
        <xdr:sp macro="" textlink="">
          <xdr:nvSpPr>
            <xdr:cNvPr id="4102" name="ComboBox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17</xdr:row>
          <xdr:rowOff>28575</xdr:rowOff>
        </xdr:from>
        <xdr:to>
          <xdr:col>9</xdr:col>
          <xdr:colOff>447675</xdr:colOff>
          <xdr:row>18</xdr:row>
          <xdr:rowOff>0</xdr:rowOff>
        </xdr:to>
        <xdr:sp macro="" textlink="">
          <xdr:nvSpPr>
            <xdr:cNvPr id="4103" name="ComboBox3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16</xdr:row>
          <xdr:rowOff>38100</xdr:rowOff>
        </xdr:from>
        <xdr:to>
          <xdr:col>9</xdr:col>
          <xdr:colOff>447675</xdr:colOff>
          <xdr:row>17</xdr:row>
          <xdr:rowOff>9525</xdr:rowOff>
        </xdr:to>
        <xdr:sp macro="" textlink="">
          <xdr:nvSpPr>
            <xdr:cNvPr id="4104" name="ComboBox4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2</xdr:row>
          <xdr:rowOff>76200</xdr:rowOff>
        </xdr:from>
        <xdr:to>
          <xdr:col>4</xdr:col>
          <xdr:colOff>123825</xdr:colOff>
          <xdr:row>2</xdr:row>
          <xdr:rowOff>342900</xdr:rowOff>
        </xdr:to>
        <xdr:sp macro="" textlink="">
          <xdr:nvSpPr>
            <xdr:cNvPr id="4105" name="ComboBox5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6</xdr:row>
          <xdr:rowOff>104775</xdr:rowOff>
        </xdr:from>
        <xdr:to>
          <xdr:col>5</xdr:col>
          <xdr:colOff>95250</xdr:colOff>
          <xdr:row>7</xdr:row>
          <xdr:rowOff>0</xdr:rowOff>
        </xdr:to>
        <xdr:sp macro="" textlink="">
          <xdr:nvSpPr>
            <xdr:cNvPr id="4106" name="ComboBox7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24</xdr:row>
          <xdr:rowOff>28575</xdr:rowOff>
        </xdr:from>
        <xdr:to>
          <xdr:col>10</xdr:col>
          <xdr:colOff>895350</xdr:colOff>
          <xdr:row>25</xdr:row>
          <xdr:rowOff>0</xdr:rowOff>
        </xdr:to>
        <xdr:sp macro="" textlink="">
          <xdr:nvSpPr>
            <xdr:cNvPr id="4107" name="ComboBox8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25</xdr:row>
          <xdr:rowOff>28575</xdr:rowOff>
        </xdr:from>
        <xdr:to>
          <xdr:col>10</xdr:col>
          <xdr:colOff>895350</xdr:colOff>
          <xdr:row>26</xdr:row>
          <xdr:rowOff>0</xdr:rowOff>
        </xdr:to>
        <xdr:sp macro="" textlink="">
          <xdr:nvSpPr>
            <xdr:cNvPr id="4108" name="ComboBox9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26</xdr:row>
          <xdr:rowOff>28575</xdr:rowOff>
        </xdr:from>
        <xdr:to>
          <xdr:col>10</xdr:col>
          <xdr:colOff>895350</xdr:colOff>
          <xdr:row>27</xdr:row>
          <xdr:rowOff>0</xdr:rowOff>
        </xdr:to>
        <xdr:sp macro="" textlink="">
          <xdr:nvSpPr>
            <xdr:cNvPr id="4109" name="ComboBox10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27</xdr:row>
          <xdr:rowOff>38100</xdr:rowOff>
        </xdr:from>
        <xdr:to>
          <xdr:col>10</xdr:col>
          <xdr:colOff>895350</xdr:colOff>
          <xdr:row>28</xdr:row>
          <xdr:rowOff>9525</xdr:rowOff>
        </xdr:to>
        <xdr:sp macro="" textlink="">
          <xdr:nvSpPr>
            <xdr:cNvPr id="4110" name="ComboBox11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28</xdr:row>
          <xdr:rowOff>28575</xdr:rowOff>
        </xdr:from>
        <xdr:to>
          <xdr:col>10</xdr:col>
          <xdr:colOff>895350</xdr:colOff>
          <xdr:row>29</xdr:row>
          <xdr:rowOff>0</xdr:rowOff>
        </xdr:to>
        <xdr:sp macro="" textlink="">
          <xdr:nvSpPr>
            <xdr:cNvPr id="4111" name="ComboBox12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514350</xdr:colOff>
          <xdr:row>3</xdr:row>
          <xdr:rowOff>9525</xdr:rowOff>
        </xdr:from>
        <xdr:to>
          <xdr:col>7</xdr:col>
          <xdr:colOff>838200</xdr:colOff>
          <xdr:row>3</xdr:row>
          <xdr:rowOff>333375</xdr:rowOff>
        </xdr:to>
        <xdr:sp macro="" textlink="">
          <xdr:nvSpPr>
            <xdr:cNvPr id="4113" name="CommandButton1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552450</xdr:colOff>
          <xdr:row>5</xdr:row>
          <xdr:rowOff>28575</xdr:rowOff>
        </xdr:from>
        <xdr:to>
          <xdr:col>8</xdr:col>
          <xdr:colOff>19050</xdr:colOff>
          <xdr:row>5</xdr:row>
          <xdr:rowOff>333375</xdr:rowOff>
        </xdr:to>
        <xdr:sp macro="" textlink="">
          <xdr:nvSpPr>
            <xdr:cNvPr id="4114" name="CommandButton2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29</xdr:row>
          <xdr:rowOff>0</xdr:rowOff>
        </xdr:from>
        <xdr:to>
          <xdr:col>10</xdr:col>
          <xdr:colOff>895350</xdr:colOff>
          <xdr:row>30</xdr:row>
          <xdr:rowOff>0</xdr:rowOff>
        </xdr:to>
        <xdr:sp macro="" textlink="">
          <xdr:nvSpPr>
            <xdr:cNvPr id="4120" name="ComboBox13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  <wetp:taskpane dockstate="right" visibility="0" width="350" row="2">
    <wetp:webextensionref xmlns:r="http://schemas.openxmlformats.org/officeDocument/2006/relationships" r:id="rId2"/>
  </wetp:taskpane>
  <wetp:taskpane dockstate="right" visibility="0" width="350" row="3">
    <wetp:webextensionref xmlns:r="http://schemas.openxmlformats.org/officeDocument/2006/relationships" r:id="rId3"/>
  </wetp:taskpane>
  <wetp:taskpane dockstate="right" visibility="0" width="350" row="2">
    <wetp:webextensionref xmlns:r="http://schemas.openxmlformats.org/officeDocument/2006/relationships" r:id="rId4"/>
  </wetp:taskpane>
  <wetp:taskpane dockstate="right" visibility="0" width="0" row="0">
    <wetp:webextensionref xmlns:r="http://schemas.openxmlformats.org/officeDocument/2006/relationships" r:id="rId5"/>
  </wetp:taskpane>
</wetp:taskpanes>
</file>

<file path=xl/webextensions/webextension1.xml><?xml version="1.0" encoding="utf-8"?>
<we:webextension xmlns:we="http://schemas.microsoft.com/office/webextensions/webextension/2010/11" id="{8664F7B7-E6DA-4B25-A563-0E81CDFF2D2E}">
  <we:reference id="wa104380330" version="1.3.0.1" store="en-US" storeType="OMEX"/>
  <we:alternateReferences>
    <we:reference id="WA104380330" version="1.3.0.1" store="WA104380330" storeType="OMEX"/>
  </we:alternateReferences>
  <we:properties>
    <we:property name="RuntimeConfig" value="{&quot;HostName&quot;:&quot;&quot;,&quot;Applets&quot;:{},&quot;ActiveAppletId&quot;:&quot;&quot;,&quot;Language&quot;:&quot;EN-US&quot;,&quot;DocumentId&quot;:&quot;e15bd279-36c9-4edc-87ca-3a806d2b064c&quot;,&quot;DateCreated&quot;:&quot;2017-10-24T19:12:30.944Z&quot;,&quot;GenerationActivityId&quot;:&quot;&quot;}"/>
    <we:property name="Features" value="{&quot;LogDomEvents&quot;:false,&quot;LogTelemetry&quot;:true}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7B96E41-06CD-4103-AB5D-3674BA5D7648}">
  <we:reference id="wa104379631" version="2.1.0.0" store="en-US" storeType="OMEX"/>
  <we:alternateReferences>
    <we:reference id="WA104379631" version="2.1.0.0" store="WA104379631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D7BD29DC-C2CC-4606-8632-F0057FF3E0E6}">
  <we:reference id="wa104380006" version="1.0.0.0" store="en-US" storeType="OMEX"/>
  <we:alternateReferences>
    <we:reference id="WA104380006" version="1.0.0.0" store="WA104380006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7971C557-4346-4299-B452-A2D6705F801E}">
  <we:reference id="wa104379644" version="1.0.1.0" store="en-US" storeType="OMEX"/>
  <we:alternateReferences>
    <we:reference id="WA104379644" version="1.0.1.0" store="WA104379644" storeType="OMEX"/>
  </we:alternateReferences>
  <we:properties/>
  <we:bindings/>
  <we:snapshot xmlns:r="http://schemas.openxmlformats.org/officeDocument/2006/relationships"/>
</we:webextension>
</file>

<file path=xl/webextensions/webextension5.xml><?xml version="1.0" encoding="utf-8"?>
<we:webextension xmlns:we="http://schemas.microsoft.com/office/webextensions/webextension/2010/11" id="{D6A23BCB-46C9-4F11-B6E9-EB6E5878A3A8}">
  <we:reference id="wa104380862" version="1.1.0.2" store="en-US" storeType="OMEX"/>
  <we:alternateReferences/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image" Target="../media/image7.emf"/><Relationship Id="rId26" Type="http://schemas.openxmlformats.org/officeDocument/2006/relationships/control" Target="../activeX/activeX15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1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ontrol" Target="../activeX/activeX8.xml"/><Relationship Id="rId25" Type="http://schemas.openxmlformats.org/officeDocument/2006/relationships/image" Target="../media/image8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4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2.xml"/><Relationship Id="rId27" Type="http://schemas.openxmlformats.org/officeDocument/2006/relationships/control" Target="../activeX/activeX1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control" Target="../activeX/activeX23.xml"/><Relationship Id="rId18" Type="http://schemas.openxmlformats.org/officeDocument/2006/relationships/control" Target="../activeX/activeX26.xml"/><Relationship Id="rId26" Type="http://schemas.openxmlformats.org/officeDocument/2006/relationships/control" Target="../activeX/activeX3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4.emf"/><Relationship Id="rId34" Type="http://schemas.openxmlformats.org/officeDocument/2006/relationships/control" Target="../activeX/activeX34.xml"/><Relationship Id="rId7" Type="http://schemas.openxmlformats.org/officeDocument/2006/relationships/image" Target="../media/image10.emf"/><Relationship Id="rId12" Type="http://schemas.openxmlformats.org/officeDocument/2006/relationships/control" Target="../activeX/activeX22.xml"/><Relationship Id="rId17" Type="http://schemas.openxmlformats.org/officeDocument/2006/relationships/image" Target="../media/image12.emf"/><Relationship Id="rId25" Type="http://schemas.openxmlformats.org/officeDocument/2006/relationships/image" Target="../media/image16.emf"/><Relationship Id="rId33" Type="http://schemas.openxmlformats.org/officeDocument/2006/relationships/image" Target="../media/image20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29" Type="http://schemas.openxmlformats.org/officeDocument/2006/relationships/image" Target="../media/image18.emf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8.xml"/><Relationship Id="rId11" Type="http://schemas.openxmlformats.org/officeDocument/2006/relationships/control" Target="../activeX/activeX21.xml"/><Relationship Id="rId24" Type="http://schemas.openxmlformats.org/officeDocument/2006/relationships/control" Target="../activeX/activeX29.xml"/><Relationship Id="rId32" Type="http://schemas.openxmlformats.org/officeDocument/2006/relationships/control" Target="../activeX/activeX33.xml"/><Relationship Id="rId5" Type="http://schemas.openxmlformats.org/officeDocument/2006/relationships/image" Target="../media/image9.emf"/><Relationship Id="rId15" Type="http://schemas.openxmlformats.org/officeDocument/2006/relationships/image" Target="../media/image11.emf"/><Relationship Id="rId23" Type="http://schemas.openxmlformats.org/officeDocument/2006/relationships/image" Target="../media/image15.emf"/><Relationship Id="rId28" Type="http://schemas.openxmlformats.org/officeDocument/2006/relationships/control" Target="../activeX/activeX31.xml"/><Relationship Id="rId10" Type="http://schemas.openxmlformats.org/officeDocument/2006/relationships/control" Target="../activeX/activeX20.xml"/><Relationship Id="rId19" Type="http://schemas.openxmlformats.org/officeDocument/2006/relationships/image" Target="../media/image13.emf"/><Relationship Id="rId31" Type="http://schemas.openxmlformats.org/officeDocument/2006/relationships/image" Target="../media/image19.emf"/><Relationship Id="rId4" Type="http://schemas.openxmlformats.org/officeDocument/2006/relationships/control" Target="../activeX/activeX17.xml"/><Relationship Id="rId9" Type="http://schemas.openxmlformats.org/officeDocument/2006/relationships/image" Target="../media/image7.emf"/><Relationship Id="rId14" Type="http://schemas.openxmlformats.org/officeDocument/2006/relationships/control" Target="../activeX/activeX24.xml"/><Relationship Id="rId22" Type="http://schemas.openxmlformats.org/officeDocument/2006/relationships/control" Target="../activeX/activeX28.xml"/><Relationship Id="rId27" Type="http://schemas.openxmlformats.org/officeDocument/2006/relationships/image" Target="../media/image17.emf"/><Relationship Id="rId30" Type="http://schemas.openxmlformats.org/officeDocument/2006/relationships/control" Target="../activeX/activeX32.xml"/><Relationship Id="rId35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U100"/>
  <sheetViews>
    <sheetView tabSelected="1" zoomScaleNormal="100" workbookViewId="0">
      <selection activeCell="M10" sqref="M10"/>
    </sheetView>
  </sheetViews>
  <sheetFormatPr defaultRowHeight="12.75" x14ac:dyDescent="0.2"/>
  <cols>
    <col min="1" max="1" width="8.7109375" customWidth="1"/>
    <col min="2" max="2" width="7.5703125" customWidth="1"/>
    <col min="3" max="3" width="11.7109375" customWidth="1"/>
    <col min="4" max="4" width="15.5703125" customWidth="1"/>
    <col min="5" max="5" width="11.140625" customWidth="1"/>
    <col min="6" max="6" width="11" customWidth="1"/>
    <col min="7" max="7" width="4.7109375" customWidth="1"/>
    <col min="8" max="8" width="5.85546875" customWidth="1"/>
    <col min="12" max="12" width="11" customWidth="1"/>
    <col min="13" max="13" width="12.28515625" customWidth="1"/>
  </cols>
  <sheetData>
    <row r="1" spans="1:21" ht="26.25" customHeight="1" x14ac:dyDescent="0.3">
      <c r="A1" s="242" t="s">
        <v>99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</row>
    <row r="2" spans="1:21" s="2" customFormat="1" ht="25.5" customHeight="1" x14ac:dyDescent="0.2">
      <c r="A2" s="174" t="s">
        <v>67</v>
      </c>
      <c r="B2" s="174"/>
      <c r="C2" s="3"/>
      <c r="D2" s="3"/>
      <c r="E2" s="241"/>
      <c r="F2" s="241"/>
      <c r="G2" s="241"/>
      <c r="H2" s="241"/>
      <c r="I2" s="241"/>
      <c r="J2" s="241"/>
      <c r="K2" s="241"/>
      <c r="L2" s="3"/>
    </row>
    <row r="3" spans="1:21" ht="30.75" customHeight="1" thickBot="1" x14ac:dyDescent="0.3">
      <c r="B3" s="186"/>
      <c r="C3" s="186"/>
      <c r="D3" s="187" t="s">
        <v>125</v>
      </c>
      <c r="E3" s="239"/>
      <c r="F3" s="240"/>
      <c r="G3" s="240"/>
      <c r="H3" s="240"/>
      <c r="I3" s="240"/>
      <c r="J3" s="240"/>
      <c r="K3" s="240"/>
      <c r="L3" s="139"/>
    </row>
    <row r="4" spans="1:21" ht="28.5" customHeight="1" thickBot="1" x14ac:dyDescent="0.3">
      <c r="A4" s="103" t="s">
        <v>100</v>
      </c>
      <c r="B4" s="201" t="s">
        <v>124</v>
      </c>
      <c r="C4" s="201"/>
      <c r="D4" s="201"/>
      <c r="E4" s="201"/>
      <c r="F4" s="201"/>
      <c r="G4" s="201"/>
      <c r="H4" s="201"/>
      <c r="I4" s="201"/>
      <c r="J4" s="201"/>
      <c r="K4" s="162"/>
      <c r="L4" s="162"/>
    </row>
    <row r="5" spans="1:21" ht="15" customHeight="1" x14ac:dyDescent="0.3">
      <c r="A5" s="121"/>
      <c r="B5" s="121"/>
      <c r="C5" s="122"/>
      <c r="D5" s="123"/>
      <c r="E5" s="123"/>
      <c r="F5" s="123"/>
      <c r="G5" s="130"/>
      <c r="H5" s="124"/>
      <c r="I5" s="125"/>
      <c r="J5" s="125"/>
      <c r="K5" s="126"/>
      <c r="L5" s="127"/>
    </row>
    <row r="6" spans="1:21" ht="7.5" customHeight="1" x14ac:dyDescent="0.3">
      <c r="A6" s="101"/>
      <c r="B6" s="101"/>
      <c r="C6" s="2"/>
      <c r="D6" s="64"/>
      <c r="E6" s="64"/>
      <c r="F6" s="64"/>
      <c r="G6" s="64"/>
      <c r="H6" s="18"/>
      <c r="I6" s="15"/>
      <c r="J6" s="15"/>
      <c r="K6" s="41"/>
      <c r="L6" s="2"/>
    </row>
    <row r="7" spans="1:21" ht="30.75" customHeight="1" x14ac:dyDescent="0.3">
      <c r="A7" s="261" t="s">
        <v>18</v>
      </c>
      <c r="B7" s="261"/>
      <c r="C7" s="175"/>
      <c r="D7" s="176"/>
      <c r="E7" s="177"/>
      <c r="F7" s="215" t="s">
        <v>78</v>
      </c>
      <c r="G7" s="216"/>
      <c r="H7" s="216"/>
      <c r="I7" s="216"/>
      <c r="J7" s="216"/>
      <c r="K7" s="216"/>
      <c r="L7" s="217"/>
    </row>
    <row r="8" spans="1:21" ht="30.75" customHeight="1" thickBot="1" x14ac:dyDescent="0.35">
      <c r="A8" s="261" t="s">
        <v>19</v>
      </c>
      <c r="B8" s="261"/>
      <c r="C8" s="175"/>
      <c r="D8" s="176"/>
      <c r="E8" s="178"/>
      <c r="F8" s="218"/>
      <c r="G8" s="219"/>
      <c r="H8" s="219"/>
      <c r="I8" s="219"/>
      <c r="J8" s="219"/>
      <c r="K8" s="219"/>
      <c r="L8" s="220"/>
    </row>
    <row r="9" spans="1:21" ht="30.75" customHeight="1" thickBot="1" x14ac:dyDescent="0.35">
      <c r="A9" s="261" t="s">
        <v>20</v>
      </c>
      <c r="B9" s="261"/>
      <c r="C9" s="175"/>
      <c r="D9" s="176"/>
      <c r="E9" s="178"/>
      <c r="F9" s="206"/>
      <c r="G9" s="207"/>
      <c r="H9" s="207"/>
      <c r="I9" s="207"/>
      <c r="J9" s="207"/>
      <c r="K9" s="207"/>
      <c r="L9" s="208"/>
    </row>
    <row r="10" spans="1:21" ht="30.75" customHeight="1" thickBot="1" x14ac:dyDescent="0.35">
      <c r="A10" s="179"/>
      <c r="B10" s="179"/>
      <c r="C10" s="175"/>
      <c r="D10" s="176"/>
      <c r="E10" s="129"/>
      <c r="F10" s="206"/>
      <c r="G10" s="207"/>
      <c r="H10" s="207"/>
      <c r="I10" s="207"/>
      <c r="J10" s="207"/>
      <c r="K10" s="207"/>
      <c r="L10" s="208"/>
      <c r="R10" s="190" t="s">
        <v>40</v>
      </c>
      <c r="S10" s="190" t="s">
        <v>28</v>
      </c>
      <c r="T10" s="190" t="s">
        <v>191</v>
      </c>
      <c r="U10" s="190"/>
    </row>
    <row r="11" spans="1:21" ht="30.75" customHeight="1" thickBot="1" x14ac:dyDescent="0.35">
      <c r="A11" s="101"/>
      <c r="C11" s="65"/>
      <c r="D11" s="64"/>
      <c r="E11" s="128"/>
      <c r="F11" s="206"/>
      <c r="G11" s="207"/>
      <c r="H11" s="207"/>
      <c r="I11" s="207"/>
      <c r="J11" s="207"/>
      <c r="K11" s="207"/>
      <c r="L11" s="208"/>
    </row>
    <row r="12" spans="1:21" ht="18" customHeight="1" x14ac:dyDescent="0.2">
      <c r="B12" s="202" t="s">
        <v>93</v>
      </c>
      <c r="C12" s="203"/>
      <c r="D12" s="203"/>
      <c r="E12" s="164" t="s">
        <v>92</v>
      </c>
      <c r="F12" s="137"/>
      <c r="G12" s="137"/>
      <c r="H12" s="146"/>
      <c r="I12" s="146"/>
      <c r="J12" s="137"/>
      <c r="K12" s="138"/>
      <c r="L12" s="2"/>
    </row>
    <row r="13" spans="1:21" ht="19.5" customHeight="1" x14ac:dyDescent="0.2">
      <c r="B13" s="204"/>
      <c r="C13" s="205"/>
      <c r="D13" s="205"/>
      <c r="E13" s="40"/>
      <c r="F13" s="16"/>
      <c r="G13" s="260"/>
      <c r="H13" s="260"/>
      <c r="I13" s="16"/>
      <c r="J13" s="16"/>
      <c r="K13" s="115"/>
      <c r="L13" s="2"/>
    </row>
    <row r="14" spans="1:21" ht="23.25" customHeight="1" thickBot="1" x14ac:dyDescent="0.25">
      <c r="B14" s="165"/>
      <c r="C14" s="3"/>
      <c r="D14" s="112" t="s">
        <v>0</v>
      </c>
      <c r="E14" s="116"/>
      <c r="F14" s="116"/>
      <c r="G14" s="259"/>
      <c r="H14" s="259"/>
      <c r="I14" s="152"/>
      <c r="J14" s="116"/>
      <c r="K14" s="117"/>
      <c r="L14" s="2"/>
    </row>
    <row r="15" spans="1:21" ht="21.75" customHeight="1" x14ac:dyDescent="0.2">
      <c r="B15" s="193" t="s">
        <v>8</v>
      </c>
      <c r="C15" s="194"/>
      <c r="D15" s="166"/>
      <c r="E15" s="23"/>
      <c r="F15" s="24"/>
      <c r="G15" s="255"/>
      <c r="H15" s="256"/>
      <c r="I15" s="150"/>
      <c r="J15" s="24"/>
      <c r="K15" s="114"/>
      <c r="L15" s="2"/>
      <c r="M15" s="19"/>
    </row>
    <row r="16" spans="1:21" ht="21.75" customHeight="1" x14ac:dyDescent="0.2">
      <c r="B16" s="193" t="s">
        <v>15</v>
      </c>
      <c r="C16" s="194"/>
      <c r="D16" s="311" t="e">
        <f>VLOOKUP(selection, table2,3,FALSE )</f>
        <v>#N/A</v>
      </c>
      <c r="E16" s="20"/>
      <c r="F16" s="21"/>
      <c r="G16" s="223"/>
      <c r="H16" s="224"/>
      <c r="I16" s="147"/>
      <c r="J16" s="21"/>
      <c r="K16" s="22"/>
      <c r="L16" s="2"/>
    </row>
    <row r="17" spans="1:13" ht="21.75" customHeight="1" x14ac:dyDescent="0.2">
      <c r="B17" s="193" t="s">
        <v>69</v>
      </c>
      <c r="C17" s="194"/>
      <c r="D17" s="185" t="e">
        <f>VLOOKUP(selection, table2,4,FALSE)</f>
        <v>#N/A</v>
      </c>
      <c r="E17" s="28"/>
      <c r="F17" s="29"/>
      <c r="G17" s="257"/>
      <c r="H17" s="258"/>
      <c r="I17" s="151"/>
      <c r="J17" s="29"/>
      <c r="K17" s="30"/>
      <c r="L17" s="2"/>
      <c r="M17" s="19"/>
    </row>
    <row r="18" spans="1:13" ht="21.75" customHeight="1" x14ac:dyDescent="0.2">
      <c r="B18" s="193" t="s">
        <v>68</v>
      </c>
      <c r="C18" s="194"/>
      <c r="D18" s="109" t="e">
        <f>VLOOKUP(selection, table2, 5, )</f>
        <v>#N/A</v>
      </c>
      <c r="E18" s="28"/>
      <c r="F18" s="29"/>
      <c r="G18" s="257"/>
      <c r="H18" s="258"/>
      <c r="I18" s="151"/>
      <c r="J18" s="29"/>
      <c r="K18" s="30"/>
      <c r="L18" s="2"/>
      <c r="M18" s="19"/>
    </row>
    <row r="19" spans="1:13" ht="21.75" customHeight="1" x14ac:dyDescent="0.2">
      <c r="B19" s="193" t="s">
        <v>14</v>
      </c>
      <c r="C19" s="194"/>
      <c r="D19" s="108"/>
      <c r="E19" s="20"/>
      <c r="F19" s="21"/>
      <c r="G19" s="223"/>
      <c r="H19" s="224"/>
      <c r="I19" s="147"/>
      <c r="J19" s="21"/>
      <c r="K19" s="22"/>
      <c r="L19" s="2"/>
      <c r="M19" s="19"/>
    </row>
    <row r="20" spans="1:13" ht="21.75" customHeight="1" x14ac:dyDescent="0.2">
      <c r="B20" s="193" t="s">
        <v>17</v>
      </c>
      <c r="C20" s="194"/>
      <c r="D20" s="160"/>
      <c r="E20" s="20"/>
      <c r="F20" s="21"/>
      <c r="G20" s="223"/>
      <c r="H20" s="224"/>
      <c r="I20" s="147"/>
      <c r="J20" s="21"/>
      <c r="K20" s="22"/>
      <c r="L20" s="2"/>
    </row>
    <row r="21" spans="1:13" ht="21.75" customHeight="1" x14ac:dyDescent="0.2">
      <c r="B21" s="197"/>
      <c r="C21" s="198"/>
      <c r="D21" s="161"/>
      <c r="E21" s="31"/>
      <c r="F21" s="32"/>
      <c r="G21" s="225"/>
      <c r="H21" s="226"/>
      <c r="I21" s="148"/>
      <c r="J21" s="32"/>
      <c r="K21" s="33"/>
      <c r="L21" s="2"/>
    </row>
    <row r="22" spans="1:13" ht="21.75" customHeight="1" x14ac:dyDescent="0.2">
      <c r="B22" s="193" t="s">
        <v>1</v>
      </c>
      <c r="C22" s="194"/>
      <c r="D22" s="160"/>
      <c r="E22" s="20"/>
      <c r="F22" s="21"/>
      <c r="G22" s="223"/>
      <c r="H22" s="224"/>
      <c r="I22" s="147"/>
      <c r="J22" s="21"/>
      <c r="K22" s="22"/>
      <c r="L22" s="2"/>
    </row>
    <row r="23" spans="1:13" ht="21.75" customHeight="1" x14ac:dyDescent="0.2">
      <c r="B23" s="193" t="s">
        <v>16</v>
      </c>
      <c r="C23" s="194"/>
      <c r="D23" s="160"/>
      <c r="E23" s="20"/>
      <c r="F23" s="21"/>
      <c r="G23" s="223"/>
      <c r="H23" s="224"/>
      <c r="I23" s="147"/>
      <c r="J23" s="21"/>
      <c r="K23" s="22"/>
      <c r="L23" s="2"/>
    </row>
    <row r="24" spans="1:13" ht="21.75" customHeight="1" x14ac:dyDescent="0.2">
      <c r="B24" s="199" t="s">
        <v>70</v>
      </c>
      <c r="C24" s="200"/>
      <c r="D24" s="189" t="s">
        <v>104</v>
      </c>
      <c r="E24" s="25"/>
      <c r="F24" s="26"/>
      <c r="G24" s="233"/>
      <c r="H24" s="234"/>
      <c r="I24" s="155"/>
      <c r="J24" s="26"/>
      <c r="K24" s="27"/>
      <c r="L24" s="2"/>
    </row>
    <row r="25" spans="1:13" ht="21.75" customHeight="1" x14ac:dyDescent="0.2">
      <c r="A25" s="188"/>
      <c r="B25" s="193" t="s">
        <v>71</v>
      </c>
      <c r="C25" s="194"/>
      <c r="D25" s="156"/>
      <c r="E25" s="34"/>
      <c r="F25" s="35"/>
      <c r="G25" s="235"/>
      <c r="H25" s="236"/>
      <c r="I25" s="157"/>
      <c r="J25" s="35"/>
      <c r="K25" s="36"/>
      <c r="L25" s="2"/>
    </row>
    <row r="26" spans="1:13" ht="21.75" customHeight="1" x14ac:dyDescent="0.2">
      <c r="B26" s="193" t="s">
        <v>6</v>
      </c>
      <c r="C26" s="194"/>
      <c r="D26" s="110"/>
      <c r="E26" s="106"/>
      <c r="F26" s="1"/>
      <c r="G26" s="237"/>
      <c r="H26" s="238"/>
      <c r="I26" s="100"/>
      <c r="J26" s="37"/>
      <c r="K26" s="38"/>
      <c r="L26" s="163"/>
    </row>
    <row r="27" spans="1:13" ht="21.75" customHeight="1" x14ac:dyDescent="0.2">
      <c r="B27" s="193" t="s">
        <v>7</v>
      </c>
      <c r="C27" s="194"/>
      <c r="D27" s="110"/>
      <c r="E27" s="106"/>
      <c r="F27" s="1"/>
      <c r="G27" s="227"/>
      <c r="H27" s="228"/>
      <c r="I27" s="100"/>
      <c r="J27" s="158"/>
      <c r="K27" s="159"/>
      <c r="L27" s="163"/>
    </row>
    <row r="28" spans="1:13" ht="21.75" customHeight="1" thickBot="1" x14ac:dyDescent="0.25">
      <c r="A28" s="2"/>
      <c r="B28" s="195" t="s">
        <v>77</v>
      </c>
      <c r="C28" s="196"/>
      <c r="D28" s="111"/>
      <c r="E28" s="107"/>
      <c r="F28" s="8"/>
      <c r="G28" s="229"/>
      <c r="H28" s="230"/>
      <c r="I28" s="149"/>
      <c r="J28" s="153"/>
      <c r="K28" s="154"/>
      <c r="L28" s="163"/>
    </row>
    <row r="29" spans="1:13" ht="20.25" customHeight="1" x14ac:dyDescent="0.2">
      <c r="A29" s="64"/>
      <c r="B29" s="64"/>
      <c r="C29" s="64"/>
      <c r="D29" s="64"/>
      <c r="E29" s="2"/>
      <c r="K29" s="2"/>
      <c r="L29" s="163"/>
    </row>
    <row r="30" spans="1:13" ht="24.95" customHeight="1" thickBot="1" x14ac:dyDescent="0.25">
      <c r="A30" s="12"/>
      <c r="B30" s="2"/>
      <c r="C30" s="133" t="s">
        <v>59</v>
      </c>
      <c r="D30" s="133" t="s">
        <v>60</v>
      </c>
      <c r="E30" s="15" t="s">
        <v>79</v>
      </c>
      <c r="F30" s="231" t="s">
        <v>5</v>
      </c>
      <c r="G30" s="232"/>
      <c r="H30" s="47"/>
      <c r="I30" s="47"/>
      <c r="J30" s="2"/>
      <c r="K30" s="2"/>
      <c r="L30" s="163"/>
    </row>
    <row r="31" spans="1:13" ht="27" customHeight="1" x14ac:dyDescent="0.25">
      <c r="A31" s="243" t="s">
        <v>2</v>
      </c>
      <c r="B31" s="244"/>
      <c r="C31" s="131"/>
      <c r="D31" s="70"/>
      <c r="E31" s="70"/>
      <c r="F31" s="213"/>
      <c r="G31" s="214"/>
      <c r="I31" s="262" t="s">
        <v>88</v>
      </c>
      <c r="J31" s="263"/>
      <c r="K31" s="263"/>
      <c r="L31" s="264"/>
    </row>
    <row r="32" spans="1:13" ht="27" customHeight="1" x14ac:dyDescent="0.2">
      <c r="A32" s="245"/>
      <c r="B32" s="246"/>
      <c r="C32" s="44"/>
      <c r="D32" s="1"/>
      <c r="E32" s="1"/>
      <c r="F32" s="209"/>
      <c r="G32" s="210"/>
      <c r="I32" s="11" t="s">
        <v>85</v>
      </c>
      <c r="J32" s="64"/>
      <c r="K32" s="64"/>
      <c r="L32" s="6"/>
    </row>
    <row r="33" spans="1:12" ht="27" customHeight="1" x14ac:dyDescent="0.2">
      <c r="A33" s="245"/>
      <c r="B33" s="246"/>
      <c r="C33" s="44"/>
      <c r="D33" s="1"/>
      <c r="E33" s="1"/>
      <c r="F33" s="209"/>
      <c r="G33" s="210"/>
      <c r="I33" s="11" t="s">
        <v>86</v>
      </c>
      <c r="J33" s="64"/>
      <c r="K33" s="64"/>
      <c r="L33" s="134"/>
    </row>
    <row r="34" spans="1:12" ht="27" customHeight="1" x14ac:dyDescent="0.2">
      <c r="A34" s="245"/>
      <c r="B34" s="246"/>
      <c r="C34" s="44"/>
      <c r="D34" s="1"/>
      <c r="E34" s="1"/>
      <c r="F34" s="209"/>
      <c r="G34" s="210"/>
      <c r="I34" s="11" t="s">
        <v>87</v>
      </c>
      <c r="J34" s="64"/>
      <c r="K34" s="64"/>
      <c r="L34" s="135"/>
    </row>
    <row r="35" spans="1:12" ht="27" customHeight="1" thickBot="1" x14ac:dyDescent="0.25">
      <c r="A35" s="247"/>
      <c r="B35" s="248"/>
      <c r="C35" s="132"/>
      <c r="D35" s="8"/>
      <c r="E35" s="8"/>
      <c r="F35" s="211"/>
      <c r="G35" s="212"/>
      <c r="I35" s="136" t="s">
        <v>98</v>
      </c>
      <c r="J35" s="221"/>
      <c r="K35" s="221"/>
      <c r="L35" s="222"/>
    </row>
    <row r="36" spans="1:12" ht="27" customHeight="1" thickBot="1" x14ac:dyDescent="0.25">
      <c r="A36" s="249" t="s">
        <v>3</v>
      </c>
      <c r="B36" s="250"/>
      <c r="C36" s="70"/>
      <c r="D36" s="70"/>
      <c r="E36" s="70"/>
      <c r="F36" s="213"/>
      <c r="G36" s="214"/>
      <c r="I36" s="48" t="s">
        <v>10</v>
      </c>
      <c r="J36" s="12"/>
      <c r="K36" s="49"/>
      <c r="L36" s="13"/>
    </row>
    <row r="37" spans="1:12" ht="27" customHeight="1" x14ac:dyDescent="0.2">
      <c r="A37" s="251"/>
      <c r="B37" s="252"/>
      <c r="C37" s="44"/>
      <c r="D37" s="1"/>
      <c r="E37" s="1"/>
      <c r="F37" s="209"/>
      <c r="G37" s="210"/>
      <c r="H37" s="57"/>
      <c r="I37" s="57"/>
      <c r="J37" s="2"/>
      <c r="K37" s="2"/>
      <c r="L37" s="2"/>
    </row>
    <row r="38" spans="1:12" ht="27" customHeight="1" thickBot="1" x14ac:dyDescent="0.25">
      <c r="A38" s="253"/>
      <c r="B38" s="254"/>
      <c r="C38" s="132"/>
      <c r="D38" s="8"/>
      <c r="E38" s="8"/>
      <c r="F38" s="211"/>
      <c r="G38" s="212"/>
      <c r="H38" s="2"/>
      <c r="I38" s="2"/>
      <c r="J38" s="2"/>
      <c r="K38" s="2"/>
      <c r="L38" s="2"/>
    </row>
    <row r="39" spans="1:12" ht="20.100000000000001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</row>
    <row r="100" spans="8:8" x14ac:dyDescent="0.2">
      <c r="H100" s="42"/>
    </row>
  </sheetData>
  <mergeCells count="56">
    <mergeCell ref="E3:K3"/>
    <mergeCell ref="E2:K2"/>
    <mergeCell ref="A1:L1"/>
    <mergeCell ref="A31:B35"/>
    <mergeCell ref="A36:B38"/>
    <mergeCell ref="G15:H15"/>
    <mergeCell ref="G16:H16"/>
    <mergeCell ref="G17:H17"/>
    <mergeCell ref="G18:H18"/>
    <mergeCell ref="G19:H19"/>
    <mergeCell ref="G14:H14"/>
    <mergeCell ref="G13:H13"/>
    <mergeCell ref="A7:B7"/>
    <mergeCell ref="A8:B8"/>
    <mergeCell ref="A9:B9"/>
    <mergeCell ref="I31:L31"/>
    <mergeCell ref="F36:G36"/>
    <mergeCell ref="F37:G37"/>
    <mergeCell ref="F38:G38"/>
    <mergeCell ref="F7:L7"/>
    <mergeCell ref="F8:L8"/>
    <mergeCell ref="J35:L35"/>
    <mergeCell ref="G20:H20"/>
    <mergeCell ref="G21:H21"/>
    <mergeCell ref="G27:H27"/>
    <mergeCell ref="G28:H28"/>
    <mergeCell ref="F30:G30"/>
    <mergeCell ref="F31:G31"/>
    <mergeCell ref="F32:G32"/>
    <mergeCell ref="F33:G33"/>
    <mergeCell ref="G24:H24"/>
    <mergeCell ref="G25:H25"/>
    <mergeCell ref="B18:C18"/>
    <mergeCell ref="B19:C19"/>
    <mergeCell ref="B20:C20"/>
    <mergeCell ref="F34:G34"/>
    <mergeCell ref="F35:G35"/>
    <mergeCell ref="G26:H26"/>
    <mergeCell ref="G22:H22"/>
    <mergeCell ref="G23:H23"/>
    <mergeCell ref="B4:J4"/>
    <mergeCell ref="B12:D13"/>
    <mergeCell ref="B15:C15"/>
    <mergeCell ref="B16:C16"/>
    <mergeCell ref="B17:C17"/>
    <mergeCell ref="F9:L9"/>
    <mergeCell ref="F10:L10"/>
    <mergeCell ref="F11:L11"/>
    <mergeCell ref="B27:C27"/>
    <mergeCell ref="B28:C28"/>
    <mergeCell ref="B21:C21"/>
    <mergeCell ref="B22:C22"/>
    <mergeCell ref="B24:C24"/>
    <mergeCell ref="B25:C25"/>
    <mergeCell ref="B26:C26"/>
    <mergeCell ref="B23:C23"/>
  </mergeCells>
  <pageMargins left="0.55833333333333302" right="0.5" top="0.75" bottom="0.40833333333333299" header="0.3" footer="0.25"/>
  <pageSetup scale="80" orientation="portrait" r:id="rId1"/>
  <headerFooter>
    <oddHeader>&amp;LConstellation Brands
Gonzales Winery&amp;RApproval Report
Doc # LF-4 Rev 08 11/1/17</oddHeader>
  </headerFooter>
  <drawing r:id="rId2"/>
  <legacyDrawing r:id="rId3"/>
  <controls>
    <mc:AlternateContent xmlns:mc="http://schemas.openxmlformats.org/markup-compatibility/2006">
      <mc:Choice Requires="x14">
        <control shapeId="7199" r:id="rId4" name="button_1">
          <controlPr defaultSize="0" autoLine="0" r:id="rId5">
            <anchor moveWithCells="1">
              <from>
                <xdr:col>0</xdr:col>
                <xdr:colOff>19050</xdr:colOff>
                <xdr:row>12</xdr:row>
                <xdr:rowOff>19050</xdr:rowOff>
              </from>
              <to>
                <xdr:col>0</xdr:col>
                <xdr:colOff>571500</xdr:colOff>
                <xdr:row>13</xdr:row>
                <xdr:rowOff>247650</xdr:rowOff>
              </to>
            </anchor>
          </controlPr>
        </control>
      </mc:Choice>
      <mc:Fallback>
        <control shapeId="7199" r:id="rId4" name="button_1"/>
      </mc:Fallback>
    </mc:AlternateContent>
    <mc:AlternateContent xmlns:mc="http://schemas.openxmlformats.org/markup-compatibility/2006">
      <mc:Choice Requires="x14">
        <control shapeId="7169" r:id="rId6" name="Vintage">
          <controlPr locked="0" defaultSize="0" autoLine="0" listFillRange="vintage1" r:id="rId7">
            <anchor moveWithCells="1" sizeWithCells="1">
              <from>
                <xdr:col>2</xdr:col>
                <xdr:colOff>476250</xdr:colOff>
                <xdr:row>6</xdr:row>
                <xdr:rowOff>66675</xdr:rowOff>
              </from>
              <to>
                <xdr:col>3</xdr:col>
                <xdr:colOff>504825</xdr:colOff>
                <xdr:row>6</xdr:row>
                <xdr:rowOff>323850</xdr:rowOff>
              </to>
            </anchor>
          </controlPr>
        </control>
      </mc:Choice>
      <mc:Fallback>
        <control shapeId="7169" r:id="rId6" name="Vintage"/>
      </mc:Fallback>
    </mc:AlternateContent>
    <mc:AlternateContent xmlns:mc="http://schemas.openxmlformats.org/markup-compatibility/2006">
      <mc:Choice Requires="x14">
        <control shapeId="7170" r:id="rId8" name="Brand">
          <controlPr locked="0" defaultSize="0" autoLine="0" listFillRange="Brand" r:id="rId9">
            <anchor moveWithCells="1" sizeWithCells="1">
              <from>
                <xdr:col>2</xdr:col>
                <xdr:colOff>19050</xdr:colOff>
                <xdr:row>7</xdr:row>
                <xdr:rowOff>57150</xdr:rowOff>
              </from>
              <to>
                <xdr:col>4</xdr:col>
                <xdr:colOff>266700</xdr:colOff>
                <xdr:row>7</xdr:row>
                <xdr:rowOff>314325</xdr:rowOff>
              </to>
            </anchor>
          </controlPr>
        </control>
      </mc:Choice>
      <mc:Fallback>
        <control shapeId="7170" r:id="rId8" name="Brand"/>
      </mc:Fallback>
    </mc:AlternateContent>
    <mc:AlternateContent xmlns:mc="http://schemas.openxmlformats.org/markup-compatibility/2006">
      <mc:Choice Requires="x14">
        <control shapeId="7171" r:id="rId10" name="Varietal">
          <controlPr locked="0" defaultSize="0" autoLine="0" altText="Varietal" listFillRange="Varietal" r:id="rId11">
            <anchor moveWithCells="1" sizeWithCells="1">
              <from>
                <xdr:col>2</xdr:col>
                <xdr:colOff>85725</xdr:colOff>
                <xdr:row>8</xdr:row>
                <xdr:rowOff>57150</xdr:rowOff>
              </from>
              <to>
                <xdr:col>4</xdr:col>
                <xdr:colOff>447675</xdr:colOff>
                <xdr:row>8</xdr:row>
                <xdr:rowOff>323850</xdr:rowOff>
              </to>
            </anchor>
          </controlPr>
        </control>
      </mc:Choice>
      <mc:Fallback>
        <control shapeId="7171" r:id="rId10" name="Varietal"/>
      </mc:Fallback>
    </mc:AlternateContent>
    <mc:AlternateContent xmlns:mc="http://schemas.openxmlformats.org/markup-compatibility/2006">
      <mc:Choice Requires="x14">
        <control shapeId="7172" r:id="rId12" name="ComboBox6">
          <controlPr defaultSize="0" autoLine="0" autoPict="0" listFillRange="PMA_status" r:id="rId13">
            <anchor moveWithCells="1">
              <from>
                <xdr:col>9</xdr:col>
                <xdr:colOff>9525</xdr:colOff>
                <xdr:row>31</xdr:row>
                <xdr:rowOff>114300</xdr:rowOff>
              </from>
              <to>
                <xdr:col>11</xdr:col>
                <xdr:colOff>419100</xdr:colOff>
                <xdr:row>32</xdr:row>
                <xdr:rowOff>19050</xdr:rowOff>
              </to>
            </anchor>
          </controlPr>
        </control>
      </mc:Choice>
      <mc:Fallback>
        <control shapeId="7172" r:id="rId12" name="ComboBox6"/>
      </mc:Fallback>
    </mc:AlternateContent>
    <mc:AlternateContent xmlns:mc="http://schemas.openxmlformats.org/markup-compatibility/2006">
      <mc:Choice Requires="x14">
        <control shapeId="7175" r:id="rId14" name="ComboBox3">
          <controlPr defaultSize="0" autoLine="0" autoPict="0" listFillRange="PMA_status" r:id="rId15">
            <anchor moveWithCells="1">
              <from>
                <xdr:col>9</xdr:col>
                <xdr:colOff>0</xdr:colOff>
                <xdr:row>33</xdr:row>
                <xdr:rowOff>95250</xdr:rowOff>
              </from>
              <to>
                <xdr:col>11</xdr:col>
                <xdr:colOff>390525</xdr:colOff>
                <xdr:row>34</xdr:row>
                <xdr:rowOff>0</xdr:rowOff>
              </to>
            </anchor>
          </controlPr>
        </control>
      </mc:Choice>
      <mc:Fallback>
        <control shapeId="7175" r:id="rId14" name="ComboBox3"/>
      </mc:Fallback>
    </mc:AlternateContent>
    <mc:AlternateContent xmlns:mc="http://schemas.openxmlformats.org/markup-compatibility/2006">
      <mc:Choice Requires="x14">
        <control shapeId="7176" r:id="rId16" name="ComboBox4">
          <controlPr defaultSize="0" autoLine="0" autoPict="0" listFillRange="PMA_status" r:id="rId15">
            <anchor moveWithCells="1">
              <from>
                <xdr:col>9</xdr:col>
                <xdr:colOff>9525</xdr:colOff>
                <xdr:row>32</xdr:row>
                <xdr:rowOff>104775</xdr:rowOff>
              </from>
              <to>
                <xdr:col>11</xdr:col>
                <xdr:colOff>400050</xdr:colOff>
                <xdr:row>33</xdr:row>
                <xdr:rowOff>9525</xdr:rowOff>
              </to>
            </anchor>
          </controlPr>
        </control>
      </mc:Choice>
      <mc:Fallback>
        <control shapeId="7176" r:id="rId16" name="ComboBox4"/>
      </mc:Fallback>
    </mc:AlternateContent>
    <mc:AlternateContent xmlns:mc="http://schemas.openxmlformats.org/markup-compatibility/2006">
      <mc:Choice Requires="x14">
        <control shapeId="7179" r:id="rId17" name="ComboBox8">
          <controlPr defaultSize="0" autoLine="0" listFillRange="Pass_Fail" r:id="rId18">
            <anchor moveWithCells="1">
              <from>
                <xdr:col>5</xdr:col>
                <xdr:colOff>47625</xdr:colOff>
                <xdr:row>30</xdr:row>
                <xdr:rowOff>76200</xdr:rowOff>
              </from>
              <to>
                <xdr:col>6</xdr:col>
                <xdr:colOff>171450</xdr:colOff>
                <xdr:row>30</xdr:row>
                <xdr:rowOff>323850</xdr:rowOff>
              </to>
            </anchor>
          </controlPr>
        </control>
      </mc:Choice>
      <mc:Fallback>
        <control shapeId="7179" r:id="rId17" name="ComboBox8"/>
      </mc:Fallback>
    </mc:AlternateContent>
    <mc:AlternateContent xmlns:mc="http://schemas.openxmlformats.org/markup-compatibility/2006">
      <mc:Choice Requires="x14">
        <control shapeId="7180" r:id="rId19" name="ComboBox9">
          <controlPr defaultSize="0" autoLine="0" listFillRange="Pass_Fail" r:id="rId18">
            <anchor moveWithCells="1">
              <from>
                <xdr:col>5</xdr:col>
                <xdr:colOff>47625</xdr:colOff>
                <xdr:row>31</xdr:row>
                <xdr:rowOff>66675</xdr:rowOff>
              </from>
              <to>
                <xdr:col>6</xdr:col>
                <xdr:colOff>171450</xdr:colOff>
                <xdr:row>31</xdr:row>
                <xdr:rowOff>314325</xdr:rowOff>
              </to>
            </anchor>
          </controlPr>
        </control>
      </mc:Choice>
      <mc:Fallback>
        <control shapeId="7180" r:id="rId19" name="ComboBox9"/>
      </mc:Fallback>
    </mc:AlternateContent>
    <mc:AlternateContent xmlns:mc="http://schemas.openxmlformats.org/markup-compatibility/2006">
      <mc:Choice Requires="x14">
        <control shapeId="7181" r:id="rId20" name="ComboBox10">
          <controlPr defaultSize="0" autoLine="0" listFillRange="Pass_Fail" r:id="rId18">
            <anchor moveWithCells="1">
              <from>
                <xdr:col>5</xdr:col>
                <xdr:colOff>38100</xdr:colOff>
                <xdr:row>32</xdr:row>
                <xdr:rowOff>76200</xdr:rowOff>
              </from>
              <to>
                <xdr:col>6</xdr:col>
                <xdr:colOff>161925</xdr:colOff>
                <xdr:row>32</xdr:row>
                <xdr:rowOff>323850</xdr:rowOff>
              </to>
            </anchor>
          </controlPr>
        </control>
      </mc:Choice>
      <mc:Fallback>
        <control shapeId="7181" r:id="rId20" name="ComboBox10"/>
      </mc:Fallback>
    </mc:AlternateContent>
    <mc:AlternateContent xmlns:mc="http://schemas.openxmlformats.org/markup-compatibility/2006">
      <mc:Choice Requires="x14">
        <control shapeId="7182" r:id="rId21" name="ComboBox11">
          <controlPr defaultSize="0" autoLine="0" listFillRange="Pass_Fail" r:id="rId18">
            <anchor moveWithCells="1">
              <from>
                <xdr:col>5</xdr:col>
                <xdr:colOff>47625</xdr:colOff>
                <xdr:row>33</xdr:row>
                <xdr:rowOff>66675</xdr:rowOff>
              </from>
              <to>
                <xdr:col>6</xdr:col>
                <xdr:colOff>171450</xdr:colOff>
                <xdr:row>33</xdr:row>
                <xdr:rowOff>314325</xdr:rowOff>
              </to>
            </anchor>
          </controlPr>
        </control>
      </mc:Choice>
      <mc:Fallback>
        <control shapeId="7182" r:id="rId21" name="ComboBox11"/>
      </mc:Fallback>
    </mc:AlternateContent>
    <mc:AlternateContent xmlns:mc="http://schemas.openxmlformats.org/markup-compatibility/2006">
      <mc:Choice Requires="x14">
        <control shapeId="7183" r:id="rId22" name="ComboBox12">
          <controlPr defaultSize="0" autoLine="0" listFillRange="Pass_Fail" r:id="rId18">
            <anchor moveWithCells="1">
              <from>
                <xdr:col>5</xdr:col>
                <xdr:colOff>38100</xdr:colOff>
                <xdr:row>34</xdr:row>
                <xdr:rowOff>57150</xdr:rowOff>
              </from>
              <to>
                <xdr:col>6</xdr:col>
                <xdr:colOff>161925</xdr:colOff>
                <xdr:row>34</xdr:row>
                <xdr:rowOff>304800</xdr:rowOff>
              </to>
            </anchor>
          </controlPr>
        </control>
      </mc:Choice>
      <mc:Fallback>
        <control shapeId="7183" r:id="rId22" name="ComboBox12"/>
      </mc:Fallback>
    </mc:AlternateContent>
    <mc:AlternateContent xmlns:mc="http://schemas.openxmlformats.org/markup-compatibility/2006">
      <mc:Choice Requires="x14">
        <control shapeId="7184" r:id="rId23" name="ComboBox13">
          <controlPr defaultSize="0" autoLine="0" listFillRange="Pass_Fail" r:id="rId18">
            <anchor moveWithCells="1">
              <from>
                <xdr:col>5</xdr:col>
                <xdr:colOff>19050</xdr:colOff>
                <xdr:row>35</xdr:row>
                <xdr:rowOff>66675</xdr:rowOff>
              </from>
              <to>
                <xdr:col>6</xdr:col>
                <xdr:colOff>142875</xdr:colOff>
                <xdr:row>35</xdr:row>
                <xdr:rowOff>314325</xdr:rowOff>
              </to>
            </anchor>
          </controlPr>
        </control>
      </mc:Choice>
      <mc:Fallback>
        <control shapeId="7184" r:id="rId23" name="ComboBox13"/>
      </mc:Fallback>
    </mc:AlternateContent>
    <mc:AlternateContent xmlns:mc="http://schemas.openxmlformats.org/markup-compatibility/2006">
      <mc:Choice Requires="x14">
        <control shapeId="7185" r:id="rId24" name="Sign">
          <controlPr defaultSize="0" autoLine="0" r:id="rId25">
            <anchor moveWithCells="1">
              <from>
                <xdr:col>3</xdr:col>
                <xdr:colOff>47625</xdr:colOff>
                <xdr:row>1</xdr:row>
                <xdr:rowOff>28575</xdr:rowOff>
              </from>
              <to>
                <xdr:col>3</xdr:col>
                <xdr:colOff>962025</xdr:colOff>
                <xdr:row>2</xdr:row>
                <xdr:rowOff>9525</xdr:rowOff>
              </to>
            </anchor>
          </controlPr>
        </control>
      </mc:Choice>
      <mc:Fallback>
        <control shapeId="7185" r:id="rId24" name="Sign"/>
      </mc:Fallback>
    </mc:AlternateContent>
    <mc:AlternateContent xmlns:mc="http://schemas.openxmlformats.org/markup-compatibility/2006">
      <mc:Choice Requires="x14">
        <control shapeId="7195" r:id="rId26" name="ComboBox1">
          <controlPr defaultSize="0" autoLine="0" listFillRange="Pass_Fail" r:id="rId18">
            <anchor moveWithCells="1">
              <from>
                <xdr:col>5</xdr:col>
                <xdr:colOff>9525</xdr:colOff>
                <xdr:row>36</xdr:row>
                <xdr:rowOff>57150</xdr:rowOff>
              </from>
              <to>
                <xdr:col>6</xdr:col>
                <xdr:colOff>133350</xdr:colOff>
                <xdr:row>36</xdr:row>
                <xdr:rowOff>304800</xdr:rowOff>
              </to>
            </anchor>
          </controlPr>
        </control>
      </mc:Choice>
      <mc:Fallback>
        <control shapeId="7195" r:id="rId26" name="ComboBox1"/>
      </mc:Fallback>
    </mc:AlternateContent>
    <mc:AlternateContent xmlns:mc="http://schemas.openxmlformats.org/markup-compatibility/2006">
      <mc:Choice Requires="x14">
        <control shapeId="7196" r:id="rId27" name="ComboBox2">
          <controlPr defaultSize="0" autoLine="0" listFillRange="Pass_Fail" r:id="rId18">
            <anchor moveWithCells="1">
              <from>
                <xdr:col>5</xdr:col>
                <xdr:colOff>19050</xdr:colOff>
                <xdr:row>37</xdr:row>
                <xdr:rowOff>57150</xdr:rowOff>
              </from>
              <to>
                <xdr:col>6</xdr:col>
                <xdr:colOff>142875</xdr:colOff>
                <xdr:row>37</xdr:row>
                <xdr:rowOff>304800</xdr:rowOff>
              </to>
            </anchor>
          </controlPr>
        </control>
      </mc:Choice>
      <mc:Fallback>
        <control shapeId="7196" r:id="rId27" name="Combo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40"/>
  <sheetViews>
    <sheetView topLeftCell="A4" zoomScaleNormal="100" workbookViewId="0">
      <selection activeCell="B15" sqref="B15"/>
    </sheetView>
  </sheetViews>
  <sheetFormatPr defaultRowHeight="12.75" x14ac:dyDescent="0.2"/>
  <cols>
    <col min="1" max="1" width="15.7109375" customWidth="1"/>
    <col min="2" max="2" width="9.7109375" customWidth="1"/>
    <col min="3" max="6" width="10" customWidth="1"/>
    <col min="7" max="7" width="8.85546875" customWidth="1"/>
    <col min="8" max="8" width="12.85546875" customWidth="1"/>
    <col min="9" max="9" width="10" customWidth="1"/>
    <col min="11" max="11" width="14" customWidth="1"/>
  </cols>
  <sheetData>
    <row r="1" spans="1:11" ht="25.5" customHeight="1" thickBot="1" x14ac:dyDescent="0.35">
      <c r="A1" s="280" t="s">
        <v>84</v>
      </c>
      <c r="B1" s="280"/>
      <c r="C1" s="280"/>
      <c r="D1" s="280"/>
      <c r="E1" s="280"/>
      <c r="F1" s="280"/>
      <c r="G1" s="280"/>
      <c r="H1" s="280"/>
      <c r="I1" s="280"/>
      <c r="J1" s="280"/>
      <c r="K1" s="280"/>
    </row>
    <row r="2" spans="1:11" ht="12" customHeight="1" x14ac:dyDescent="0.3">
      <c r="A2" s="91"/>
      <c r="B2" s="43"/>
      <c r="C2" s="54"/>
      <c r="D2" s="54"/>
      <c r="E2" s="87"/>
      <c r="F2" s="288" t="s">
        <v>13</v>
      </c>
      <c r="G2" s="43"/>
      <c r="H2" s="89"/>
      <c r="I2" s="300"/>
      <c r="J2" s="301"/>
      <c r="K2" s="5"/>
    </row>
    <row r="3" spans="1:11" ht="30.75" customHeight="1" x14ac:dyDescent="0.3">
      <c r="A3" s="94" t="s">
        <v>94</v>
      </c>
      <c r="B3" s="302"/>
      <c r="C3" s="303"/>
      <c r="D3" s="303"/>
      <c r="E3" s="210"/>
      <c r="F3" s="289"/>
      <c r="G3" s="99" t="s">
        <v>12</v>
      </c>
      <c r="H3" s="292"/>
      <c r="I3" s="292"/>
      <c r="J3" s="292"/>
      <c r="K3" s="293"/>
    </row>
    <row r="4" spans="1:11" ht="30.75" customHeight="1" x14ac:dyDescent="0.2">
      <c r="A4" s="92" t="s">
        <v>18</v>
      </c>
      <c r="B4" s="2"/>
      <c r="C4" s="303"/>
      <c r="D4" s="305"/>
      <c r="E4" s="45"/>
      <c r="F4" s="289"/>
      <c r="G4" s="2"/>
      <c r="H4" s="2"/>
      <c r="I4" s="265"/>
      <c r="J4" s="266"/>
      <c r="K4" s="267"/>
    </row>
    <row r="5" spans="1:11" ht="30.75" customHeight="1" x14ac:dyDescent="0.2">
      <c r="A5" s="92" t="s">
        <v>19</v>
      </c>
      <c r="B5" s="2"/>
      <c r="C5" s="2"/>
      <c r="D5" s="2"/>
      <c r="E5" s="45"/>
      <c r="F5" s="289"/>
      <c r="G5" s="304" t="s">
        <v>11</v>
      </c>
      <c r="H5" s="304"/>
      <c r="I5" s="277"/>
      <c r="J5" s="278"/>
      <c r="K5" s="279"/>
    </row>
    <row r="6" spans="1:11" ht="30.75" customHeight="1" thickBot="1" x14ac:dyDescent="0.25">
      <c r="A6" s="93" t="s">
        <v>20</v>
      </c>
      <c r="B6" s="12"/>
      <c r="C6" s="46"/>
      <c r="D6" s="49"/>
      <c r="E6" s="88"/>
      <c r="F6" s="290"/>
      <c r="G6" s="12"/>
      <c r="H6" s="90"/>
      <c r="I6" s="268"/>
      <c r="J6" s="268"/>
      <c r="K6" s="269"/>
    </row>
    <row r="7" spans="1:11" ht="39" customHeight="1" thickBot="1" x14ac:dyDescent="0.3">
      <c r="A7" s="102" t="s">
        <v>82</v>
      </c>
      <c r="B7" s="2"/>
      <c r="C7" s="14"/>
      <c r="D7" s="64"/>
      <c r="E7" s="14"/>
      <c r="F7" s="63"/>
      <c r="G7" s="58" t="s">
        <v>4</v>
      </c>
      <c r="H7" s="291"/>
      <c r="I7" s="291"/>
      <c r="J7" s="291"/>
      <c r="K7" s="291"/>
    </row>
    <row r="8" spans="1:11" ht="16.5" customHeight="1" x14ac:dyDescent="0.25">
      <c r="A8" s="2"/>
      <c r="B8" s="2"/>
      <c r="C8" s="14"/>
      <c r="D8" s="64"/>
      <c r="E8" s="14"/>
      <c r="F8" s="63"/>
      <c r="G8" s="2"/>
      <c r="H8" s="59"/>
      <c r="I8" s="14"/>
      <c r="J8" s="14"/>
      <c r="K8" s="14"/>
    </row>
    <row r="9" spans="1:11" ht="30.75" customHeight="1" thickBot="1" x14ac:dyDescent="0.35">
      <c r="A9" s="66" t="s">
        <v>83</v>
      </c>
      <c r="B9" s="80"/>
      <c r="C9" s="81"/>
      <c r="D9" s="81"/>
      <c r="E9" s="81"/>
      <c r="F9" s="80"/>
      <c r="G9" s="80"/>
      <c r="H9" s="82"/>
      <c r="I9" s="81"/>
      <c r="J9" s="81"/>
      <c r="K9" s="81"/>
    </row>
    <row r="10" spans="1:11" ht="9.75" customHeight="1" thickTop="1" x14ac:dyDescent="0.2">
      <c r="C10" s="17"/>
      <c r="D10" s="17"/>
      <c r="E10" s="17"/>
      <c r="F10" s="83"/>
      <c r="G10" s="2"/>
      <c r="H10" s="2"/>
      <c r="I10" s="2"/>
      <c r="J10" s="2"/>
      <c r="K10" s="2"/>
    </row>
    <row r="11" spans="1:11" ht="26.25" customHeight="1" x14ac:dyDescent="0.25">
      <c r="A11" s="96" t="s">
        <v>95</v>
      </c>
      <c r="B11" s="97"/>
      <c r="C11" s="97"/>
      <c r="D11" s="97"/>
      <c r="E11" s="97"/>
      <c r="F11" s="98"/>
      <c r="G11" s="97"/>
      <c r="H11" s="97"/>
      <c r="I11" s="97"/>
      <c r="J11" s="97"/>
      <c r="K11" s="98"/>
    </row>
    <row r="12" spans="1:11" ht="18" customHeight="1" thickBot="1" x14ac:dyDescent="0.25">
      <c r="A12" s="56"/>
      <c r="B12" s="2"/>
      <c r="C12" s="299" t="s">
        <v>81</v>
      </c>
      <c r="D12" s="299"/>
      <c r="E12" s="299"/>
      <c r="F12" s="39"/>
      <c r="K12" s="2"/>
    </row>
    <row r="13" spans="1:11" ht="18" customHeight="1" x14ac:dyDescent="0.2">
      <c r="A13" s="55"/>
      <c r="B13" s="43"/>
      <c r="C13" s="167"/>
      <c r="D13" s="168"/>
      <c r="E13" s="169"/>
      <c r="F13" s="113"/>
      <c r="G13" s="43"/>
      <c r="H13" s="43"/>
      <c r="I13" s="43"/>
      <c r="J13" s="43"/>
      <c r="K13" s="5"/>
    </row>
    <row r="14" spans="1:11" ht="23.25" customHeight="1" thickBot="1" x14ac:dyDescent="0.3">
      <c r="A14" s="11"/>
      <c r="B14" s="104" t="s">
        <v>0</v>
      </c>
      <c r="C14" s="140"/>
      <c r="D14" s="141"/>
      <c r="E14" s="142"/>
      <c r="F14" s="105"/>
      <c r="G14" s="118"/>
      <c r="H14" s="281" t="s">
        <v>96</v>
      </c>
      <c r="I14" s="281"/>
      <c r="J14" s="281"/>
      <c r="K14" s="170"/>
    </row>
    <row r="15" spans="1:11" ht="21.75" customHeight="1" thickTop="1" x14ac:dyDescent="0.25">
      <c r="A15" s="171" t="s">
        <v>15</v>
      </c>
      <c r="B15" s="311" t="e">
        <f>VLOOKUP(selection, table2,3,FALSE )</f>
        <v>#N/A</v>
      </c>
      <c r="C15" s="108"/>
      <c r="D15" s="143"/>
      <c r="E15" s="144"/>
      <c r="F15" s="145"/>
      <c r="G15" s="2"/>
      <c r="H15" s="2"/>
      <c r="I15" s="2"/>
      <c r="J15" s="2"/>
      <c r="K15" s="6"/>
    </row>
    <row r="16" spans="1:11" ht="21.75" customHeight="1" x14ac:dyDescent="0.25">
      <c r="A16" s="53" t="s">
        <v>69</v>
      </c>
      <c r="B16" s="185" t="e">
        <f>VLOOKUP(selection, table2,4,FALSE)</f>
        <v>#N/A</v>
      </c>
      <c r="C16" s="185"/>
      <c r="D16" s="4"/>
      <c r="E16" s="1"/>
      <c r="F16" s="7"/>
      <c r="G16" s="2"/>
      <c r="H16" s="60" t="s">
        <v>72</v>
      </c>
      <c r="I16" s="61"/>
      <c r="J16" s="61"/>
      <c r="K16" s="6"/>
    </row>
    <row r="17" spans="1:11" ht="21.75" customHeight="1" x14ac:dyDescent="0.25">
      <c r="A17" s="53" t="s">
        <v>9</v>
      </c>
      <c r="C17" s="109"/>
      <c r="D17" s="50"/>
      <c r="E17" s="26"/>
      <c r="F17" s="27"/>
      <c r="G17" s="2"/>
      <c r="H17" s="60" t="s">
        <v>73</v>
      </c>
      <c r="I17" s="62"/>
      <c r="J17" s="61"/>
      <c r="K17" s="6"/>
    </row>
    <row r="18" spans="1:11" ht="21.75" customHeight="1" x14ac:dyDescent="0.25">
      <c r="A18" s="53" t="s">
        <v>8</v>
      </c>
      <c r="B18" s="108"/>
      <c r="C18" s="50"/>
      <c r="D18" s="50"/>
      <c r="E18" s="26"/>
      <c r="F18" s="27"/>
      <c r="G18" s="2"/>
      <c r="H18" s="60" t="s">
        <v>74</v>
      </c>
      <c r="I18" s="62"/>
      <c r="J18" s="2"/>
      <c r="K18" s="6"/>
    </row>
    <row r="19" spans="1:11" ht="21.75" customHeight="1" x14ac:dyDescent="0.25">
      <c r="A19" s="53" t="s">
        <v>68</v>
      </c>
      <c r="B19" s="109" t="e">
        <f>VLOOKUP(selection, table2, 5, )</f>
        <v>#N/A</v>
      </c>
      <c r="C19" s="51"/>
      <c r="D19" s="51"/>
      <c r="E19" s="21"/>
      <c r="F19" s="22"/>
      <c r="G19" s="2"/>
      <c r="H19" s="60" t="s">
        <v>76</v>
      </c>
      <c r="I19" s="61"/>
      <c r="J19" s="2"/>
      <c r="K19" s="6"/>
    </row>
    <row r="20" spans="1:11" ht="21.75" customHeight="1" x14ac:dyDescent="0.25">
      <c r="A20" s="53" t="s">
        <v>14</v>
      </c>
      <c r="B20" s="161"/>
      <c r="C20" s="4"/>
      <c r="D20" s="4"/>
      <c r="E20" s="29"/>
      <c r="F20" s="30"/>
      <c r="G20" s="2"/>
      <c r="H20" s="60" t="s">
        <v>75</v>
      </c>
      <c r="I20" s="61"/>
      <c r="J20" s="2"/>
      <c r="K20" s="6"/>
    </row>
    <row r="21" spans="1:11" ht="21.75" customHeight="1" x14ac:dyDescent="0.25">
      <c r="A21" s="53" t="s">
        <v>17</v>
      </c>
      <c r="B21" s="160"/>
      <c r="C21" s="4"/>
      <c r="D21" s="4"/>
      <c r="E21" s="29"/>
      <c r="F21" s="30"/>
      <c r="G21" s="294" t="s">
        <v>10</v>
      </c>
      <c r="H21" s="295"/>
      <c r="I21" s="295"/>
      <c r="J21" s="295"/>
      <c r="K21" s="296"/>
    </row>
    <row r="22" spans="1:11" ht="21.75" customHeight="1" thickBot="1" x14ac:dyDescent="0.3">
      <c r="A22" s="120"/>
      <c r="B22" s="160"/>
      <c r="C22" s="4"/>
      <c r="D22" s="4"/>
      <c r="E22" s="21"/>
      <c r="F22" s="22"/>
      <c r="G22" s="2"/>
      <c r="H22" s="68"/>
      <c r="I22" s="68"/>
      <c r="J22" s="68"/>
      <c r="K22" s="6"/>
    </row>
    <row r="23" spans="1:11" ht="21.75" customHeight="1" x14ac:dyDescent="0.25">
      <c r="A23" s="53" t="s">
        <v>1</v>
      </c>
      <c r="B23" s="189"/>
      <c r="C23" s="51"/>
      <c r="D23" s="51"/>
      <c r="E23" s="21"/>
      <c r="F23" s="22"/>
      <c r="G23" s="54"/>
      <c r="H23" s="43"/>
      <c r="I23" s="69"/>
      <c r="J23" s="297" t="s">
        <v>79</v>
      </c>
      <c r="K23" s="5"/>
    </row>
    <row r="24" spans="1:11" ht="21.75" customHeight="1" thickBot="1" x14ac:dyDescent="0.3">
      <c r="A24" s="53" t="s">
        <v>16</v>
      </c>
      <c r="B24" s="76"/>
      <c r="C24" s="52"/>
      <c r="D24" s="52"/>
      <c r="E24" s="32"/>
      <c r="F24" s="33"/>
      <c r="G24" s="64"/>
      <c r="H24" s="95" t="s">
        <v>59</v>
      </c>
      <c r="I24" s="95" t="s">
        <v>60</v>
      </c>
      <c r="J24" s="298"/>
      <c r="K24" s="172" t="s">
        <v>5</v>
      </c>
    </row>
    <row r="25" spans="1:11" ht="21.75" customHeight="1" x14ac:dyDescent="0.3">
      <c r="A25" s="71" t="s">
        <v>70</v>
      </c>
      <c r="B25" s="75" t="s">
        <v>104</v>
      </c>
      <c r="C25" s="51"/>
      <c r="D25" s="51"/>
      <c r="E25" s="21"/>
      <c r="F25" s="22"/>
      <c r="G25" s="285" t="s">
        <v>2</v>
      </c>
      <c r="H25" s="61"/>
      <c r="I25" s="61"/>
      <c r="J25" s="61"/>
      <c r="K25" s="6"/>
    </row>
    <row r="26" spans="1:11" ht="21.75" customHeight="1" x14ac:dyDescent="0.3">
      <c r="A26" s="53" t="s">
        <v>71</v>
      </c>
      <c r="B26" s="75"/>
      <c r="C26" s="51"/>
      <c r="D26" s="51"/>
      <c r="E26" s="21"/>
      <c r="F26" s="22"/>
      <c r="G26" s="285"/>
      <c r="H26" s="61"/>
      <c r="I26" s="61"/>
      <c r="J26" s="61"/>
      <c r="K26" s="6"/>
    </row>
    <row r="27" spans="1:11" ht="21.75" customHeight="1" thickBot="1" x14ac:dyDescent="0.3">
      <c r="A27" s="53" t="s">
        <v>6</v>
      </c>
      <c r="B27" s="74"/>
      <c r="C27" s="50"/>
      <c r="D27" s="50"/>
      <c r="E27" s="26"/>
      <c r="F27" s="27"/>
      <c r="G27" s="119" t="s">
        <v>97</v>
      </c>
      <c r="H27" s="85"/>
      <c r="I27" s="85"/>
      <c r="J27" s="85"/>
      <c r="K27" s="86"/>
    </row>
    <row r="28" spans="1:11" ht="21.75" customHeight="1" x14ac:dyDescent="0.25">
      <c r="A28" s="53" t="s">
        <v>7</v>
      </c>
      <c r="B28" s="77"/>
      <c r="C28" s="72"/>
      <c r="D28" s="72"/>
      <c r="E28" s="35"/>
      <c r="F28" s="36"/>
      <c r="G28" s="282" t="s">
        <v>3</v>
      </c>
      <c r="H28" s="67"/>
      <c r="I28" s="67"/>
      <c r="J28" s="67"/>
      <c r="K28" s="6"/>
    </row>
    <row r="29" spans="1:11" ht="21.75" customHeight="1" x14ac:dyDescent="0.25">
      <c r="A29" s="71" t="s">
        <v>80</v>
      </c>
      <c r="B29" s="78"/>
      <c r="C29" s="73"/>
      <c r="D29" s="73"/>
      <c r="E29" s="1"/>
      <c r="F29" s="7"/>
      <c r="G29" s="283"/>
      <c r="H29" s="2"/>
      <c r="I29" s="2"/>
      <c r="J29" s="2"/>
      <c r="K29" s="6"/>
    </row>
    <row r="30" spans="1:11" ht="20.100000000000001" customHeight="1" thickBot="1" x14ac:dyDescent="0.3">
      <c r="A30" s="84" t="s">
        <v>77</v>
      </c>
      <c r="B30" s="79"/>
      <c r="C30" s="10"/>
      <c r="D30" s="10"/>
      <c r="E30" s="8"/>
      <c r="F30" s="9"/>
      <c r="G30" s="284"/>
      <c r="H30" s="12"/>
      <c r="I30" s="12"/>
      <c r="J30" s="12"/>
      <c r="K30" s="13"/>
    </row>
    <row r="31" spans="1:11" ht="20.100000000000001" customHeight="1" thickBot="1" x14ac:dyDescent="0.25"/>
    <row r="32" spans="1:11" ht="28.5" customHeight="1" x14ac:dyDescent="0.2">
      <c r="A32" s="286" t="s">
        <v>78</v>
      </c>
      <c r="B32" s="306"/>
      <c r="C32" s="307"/>
      <c r="D32" s="307"/>
      <c r="E32" s="307"/>
      <c r="F32" s="307"/>
      <c r="G32" s="307"/>
      <c r="H32" s="307"/>
      <c r="I32" s="307"/>
      <c r="J32" s="307"/>
      <c r="K32" s="308"/>
    </row>
    <row r="33" spans="1:11" ht="28.5" customHeight="1" x14ac:dyDescent="0.2">
      <c r="A33" s="287"/>
      <c r="B33" s="270"/>
      <c r="C33" s="271"/>
      <c r="D33" s="271"/>
      <c r="E33" s="271"/>
      <c r="F33" s="271"/>
      <c r="G33" s="271"/>
      <c r="H33" s="271"/>
      <c r="I33" s="271"/>
      <c r="J33" s="271"/>
      <c r="K33" s="272"/>
    </row>
    <row r="34" spans="1:11" ht="28.5" customHeight="1" x14ac:dyDescent="0.2">
      <c r="A34" s="287"/>
      <c r="B34" s="270"/>
      <c r="C34" s="271"/>
      <c r="D34" s="271"/>
      <c r="E34" s="271"/>
      <c r="F34" s="271"/>
      <c r="G34" s="271"/>
      <c r="H34" s="271"/>
      <c r="I34" s="271"/>
      <c r="J34" s="271"/>
      <c r="K34" s="272"/>
    </row>
    <row r="35" spans="1:11" ht="28.5" customHeight="1" thickBot="1" x14ac:dyDescent="0.25">
      <c r="A35" s="287"/>
      <c r="B35" s="273"/>
      <c r="C35" s="274"/>
      <c r="D35" s="274"/>
      <c r="E35" s="274"/>
      <c r="F35" s="274"/>
      <c r="G35" s="274"/>
      <c r="H35" s="274"/>
      <c r="I35" s="274"/>
      <c r="J35" s="274"/>
      <c r="K35" s="275"/>
    </row>
    <row r="36" spans="1:11" ht="29.25" customHeight="1" thickBot="1" x14ac:dyDescent="0.25">
      <c r="A36" s="173" t="s">
        <v>101</v>
      </c>
      <c r="B36" s="276"/>
      <c r="C36" s="276"/>
      <c r="D36" s="276"/>
      <c r="E36" s="276"/>
      <c r="F36" s="276"/>
      <c r="G36" s="276"/>
      <c r="H36" s="276"/>
      <c r="I36" s="276"/>
      <c r="J36" s="276"/>
      <c r="K36" s="276"/>
    </row>
    <row r="40" spans="1:11" x14ac:dyDescent="0.2">
      <c r="H40" s="42"/>
    </row>
  </sheetData>
  <mergeCells count="23">
    <mergeCell ref="B36:K36"/>
    <mergeCell ref="I5:K5"/>
    <mergeCell ref="A1:K1"/>
    <mergeCell ref="H14:J14"/>
    <mergeCell ref="G28:G30"/>
    <mergeCell ref="G25:G26"/>
    <mergeCell ref="A32:A35"/>
    <mergeCell ref="F2:F6"/>
    <mergeCell ref="H7:K7"/>
    <mergeCell ref="H3:K3"/>
    <mergeCell ref="G21:K21"/>
    <mergeCell ref="J23:J24"/>
    <mergeCell ref="C12:E12"/>
    <mergeCell ref="I2:J2"/>
    <mergeCell ref="B3:E3"/>
    <mergeCell ref="G5:H5"/>
    <mergeCell ref="I4:K4"/>
    <mergeCell ref="I6:K6"/>
    <mergeCell ref="B33:K33"/>
    <mergeCell ref="B34:K34"/>
    <mergeCell ref="B35:K35"/>
    <mergeCell ref="C4:D4"/>
    <mergeCell ref="B32:K32"/>
  </mergeCells>
  <pageMargins left="0.55833333333333302" right="0.5" top="0.75" bottom="0.40833333333333299" header="0.3" footer="0.25"/>
  <pageSetup scale="80" orientation="portrait" r:id="rId1"/>
  <headerFooter>
    <oddHeader>&amp;LConstellation Brands
Gonzales Winery&amp;RApproval Report
Doc # LF-4 Rev 08 11/1/17</oddHeader>
  </headerFooter>
  <drawing r:id="rId2"/>
  <legacyDrawing r:id="rId3"/>
  <controls>
    <mc:AlternateContent xmlns:mc="http://schemas.openxmlformats.org/markup-compatibility/2006">
      <mc:Choice Requires="x14">
        <control shapeId="4114" r:id="rId4" name="CommandButton2">
          <controlPr defaultSize="0" autoLine="0" r:id="rId5">
            <anchor moveWithCells="1">
              <from>
                <xdr:col>6</xdr:col>
                <xdr:colOff>552450</xdr:colOff>
                <xdr:row>5</xdr:row>
                <xdr:rowOff>28575</xdr:rowOff>
              </from>
              <to>
                <xdr:col>8</xdr:col>
                <xdr:colOff>19050</xdr:colOff>
                <xdr:row>5</xdr:row>
                <xdr:rowOff>333375</xdr:rowOff>
              </to>
            </anchor>
          </controlPr>
        </control>
      </mc:Choice>
      <mc:Fallback>
        <control shapeId="4114" r:id="rId4" name="CommandButton2"/>
      </mc:Fallback>
    </mc:AlternateContent>
    <mc:AlternateContent xmlns:mc="http://schemas.openxmlformats.org/markup-compatibility/2006">
      <mc:Choice Requires="x14">
        <control shapeId="4113" r:id="rId6" name="CommandButton1">
          <controlPr defaultSize="0" autoLine="0" r:id="rId7">
            <anchor moveWithCells="1">
              <from>
                <xdr:col>6</xdr:col>
                <xdr:colOff>514350</xdr:colOff>
                <xdr:row>3</xdr:row>
                <xdr:rowOff>9525</xdr:rowOff>
              </from>
              <to>
                <xdr:col>7</xdr:col>
                <xdr:colOff>838200</xdr:colOff>
                <xdr:row>3</xdr:row>
                <xdr:rowOff>333375</xdr:rowOff>
              </to>
            </anchor>
          </controlPr>
        </control>
      </mc:Choice>
      <mc:Fallback>
        <control shapeId="4113" r:id="rId6" name="CommandButton1"/>
      </mc:Fallback>
    </mc:AlternateContent>
    <mc:AlternateContent xmlns:mc="http://schemas.openxmlformats.org/markup-compatibility/2006">
      <mc:Choice Requires="x14">
        <control shapeId="4111" r:id="rId8" name="ComboBox12">
          <controlPr defaultSize="0" autoLine="0" listFillRange="Pass_Fail" r:id="rId9">
            <anchor moveWithCells="1">
              <from>
                <xdr:col>10</xdr:col>
                <xdr:colOff>38100</xdr:colOff>
                <xdr:row>28</xdr:row>
                <xdr:rowOff>28575</xdr:rowOff>
              </from>
              <to>
                <xdr:col>10</xdr:col>
                <xdr:colOff>895350</xdr:colOff>
                <xdr:row>29</xdr:row>
                <xdr:rowOff>0</xdr:rowOff>
              </to>
            </anchor>
          </controlPr>
        </control>
      </mc:Choice>
      <mc:Fallback>
        <control shapeId="4111" r:id="rId8" name="ComboBox12"/>
      </mc:Fallback>
    </mc:AlternateContent>
    <mc:AlternateContent xmlns:mc="http://schemas.openxmlformats.org/markup-compatibility/2006">
      <mc:Choice Requires="x14">
        <control shapeId="4110" r:id="rId10" name="ComboBox11">
          <controlPr defaultSize="0" autoLine="0" listFillRange="Pass_Fail" r:id="rId9">
            <anchor moveWithCells="1">
              <from>
                <xdr:col>10</xdr:col>
                <xdr:colOff>38100</xdr:colOff>
                <xdr:row>27</xdr:row>
                <xdr:rowOff>38100</xdr:rowOff>
              </from>
              <to>
                <xdr:col>10</xdr:col>
                <xdr:colOff>895350</xdr:colOff>
                <xdr:row>28</xdr:row>
                <xdr:rowOff>9525</xdr:rowOff>
              </to>
            </anchor>
          </controlPr>
        </control>
      </mc:Choice>
      <mc:Fallback>
        <control shapeId="4110" r:id="rId10" name="ComboBox11"/>
      </mc:Fallback>
    </mc:AlternateContent>
    <mc:AlternateContent xmlns:mc="http://schemas.openxmlformats.org/markup-compatibility/2006">
      <mc:Choice Requires="x14">
        <control shapeId="4109" r:id="rId11" name="ComboBox10">
          <controlPr defaultSize="0" autoLine="0" listFillRange="Pass_Fail" r:id="rId9">
            <anchor moveWithCells="1">
              <from>
                <xdr:col>10</xdr:col>
                <xdr:colOff>38100</xdr:colOff>
                <xdr:row>26</xdr:row>
                <xdr:rowOff>28575</xdr:rowOff>
              </from>
              <to>
                <xdr:col>10</xdr:col>
                <xdr:colOff>895350</xdr:colOff>
                <xdr:row>27</xdr:row>
                <xdr:rowOff>0</xdr:rowOff>
              </to>
            </anchor>
          </controlPr>
        </control>
      </mc:Choice>
      <mc:Fallback>
        <control shapeId="4109" r:id="rId11" name="ComboBox10"/>
      </mc:Fallback>
    </mc:AlternateContent>
    <mc:AlternateContent xmlns:mc="http://schemas.openxmlformats.org/markup-compatibility/2006">
      <mc:Choice Requires="x14">
        <control shapeId="4108" r:id="rId12" name="ComboBox9">
          <controlPr defaultSize="0" autoLine="0" listFillRange="Pass_Fail" r:id="rId9">
            <anchor moveWithCells="1">
              <from>
                <xdr:col>10</xdr:col>
                <xdr:colOff>38100</xdr:colOff>
                <xdr:row>25</xdr:row>
                <xdr:rowOff>28575</xdr:rowOff>
              </from>
              <to>
                <xdr:col>10</xdr:col>
                <xdr:colOff>895350</xdr:colOff>
                <xdr:row>26</xdr:row>
                <xdr:rowOff>0</xdr:rowOff>
              </to>
            </anchor>
          </controlPr>
        </control>
      </mc:Choice>
      <mc:Fallback>
        <control shapeId="4108" r:id="rId12" name="ComboBox9"/>
      </mc:Fallback>
    </mc:AlternateContent>
    <mc:AlternateContent xmlns:mc="http://schemas.openxmlformats.org/markup-compatibility/2006">
      <mc:Choice Requires="x14">
        <control shapeId="4107" r:id="rId13" name="ComboBox8">
          <controlPr defaultSize="0" autoLine="0" listFillRange="Pass_Fail" r:id="rId9">
            <anchor moveWithCells="1">
              <from>
                <xdr:col>10</xdr:col>
                <xdr:colOff>38100</xdr:colOff>
                <xdr:row>24</xdr:row>
                <xdr:rowOff>28575</xdr:rowOff>
              </from>
              <to>
                <xdr:col>10</xdr:col>
                <xdr:colOff>895350</xdr:colOff>
                <xdr:row>25</xdr:row>
                <xdr:rowOff>0</xdr:rowOff>
              </to>
            </anchor>
          </controlPr>
        </control>
      </mc:Choice>
      <mc:Fallback>
        <control shapeId="4107" r:id="rId13" name="ComboBox8"/>
      </mc:Fallback>
    </mc:AlternateContent>
    <mc:AlternateContent xmlns:mc="http://schemas.openxmlformats.org/markup-compatibility/2006">
      <mc:Choice Requires="x14">
        <control shapeId="4106" r:id="rId14" name="ComboBox7">
          <controlPr defaultSize="0" autoLine="0" listFillRange="Wineries1" r:id="rId15">
            <anchor moveWithCells="1">
              <from>
                <xdr:col>1</xdr:col>
                <xdr:colOff>142875</xdr:colOff>
                <xdr:row>6</xdr:row>
                <xdr:rowOff>104775</xdr:rowOff>
              </from>
              <to>
                <xdr:col>5</xdr:col>
                <xdr:colOff>95250</xdr:colOff>
                <xdr:row>7</xdr:row>
                <xdr:rowOff>0</xdr:rowOff>
              </to>
            </anchor>
          </controlPr>
        </control>
      </mc:Choice>
      <mc:Fallback>
        <control shapeId="4106" r:id="rId14" name="ComboBox7"/>
      </mc:Fallback>
    </mc:AlternateContent>
    <mc:AlternateContent xmlns:mc="http://schemas.openxmlformats.org/markup-compatibility/2006">
      <mc:Choice Requires="x14">
        <control shapeId="4105" r:id="rId16" name="ComboBox5">
          <controlPr locked="0" defaultSize="0" autoLine="0" listFillRange="ShipStage" r:id="rId17">
            <anchor moveWithCells="1" sizeWithCells="1">
              <from>
                <xdr:col>1</xdr:col>
                <xdr:colOff>333375</xdr:colOff>
                <xdr:row>2</xdr:row>
                <xdr:rowOff>76200</xdr:rowOff>
              </from>
              <to>
                <xdr:col>4</xdr:col>
                <xdr:colOff>123825</xdr:colOff>
                <xdr:row>2</xdr:row>
                <xdr:rowOff>342900</xdr:rowOff>
              </to>
            </anchor>
          </controlPr>
        </control>
      </mc:Choice>
      <mc:Fallback>
        <control shapeId="4105" r:id="rId16" name="ComboBox5"/>
      </mc:Fallback>
    </mc:AlternateContent>
    <mc:AlternateContent xmlns:mc="http://schemas.openxmlformats.org/markup-compatibility/2006">
      <mc:Choice Requires="x14">
        <control shapeId="4104" r:id="rId18" name="ComboBox4">
          <controlPr defaultSize="0" autoLine="0" listFillRange="Allergens" r:id="rId19">
            <anchor moveWithCells="1">
              <from>
                <xdr:col>8</xdr:col>
                <xdr:colOff>190500</xdr:colOff>
                <xdr:row>16</xdr:row>
                <xdr:rowOff>38100</xdr:rowOff>
              </from>
              <to>
                <xdr:col>9</xdr:col>
                <xdr:colOff>447675</xdr:colOff>
                <xdr:row>17</xdr:row>
                <xdr:rowOff>9525</xdr:rowOff>
              </to>
            </anchor>
          </controlPr>
        </control>
      </mc:Choice>
      <mc:Fallback>
        <control shapeId="4104" r:id="rId18" name="ComboBox4"/>
      </mc:Fallback>
    </mc:AlternateContent>
    <mc:AlternateContent xmlns:mc="http://schemas.openxmlformats.org/markup-compatibility/2006">
      <mc:Choice Requires="x14">
        <control shapeId="4103" r:id="rId20" name="ComboBox3">
          <controlPr defaultSize="0" autoLine="0" listFillRange="Allergens" r:id="rId21">
            <anchor moveWithCells="1">
              <from>
                <xdr:col>8</xdr:col>
                <xdr:colOff>180975</xdr:colOff>
                <xdr:row>17</xdr:row>
                <xdr:rowOff>28575</xdr:rowOff>
              </from>
              <to>
                <xdr:col>9</xdr:col>
                <xdr:colOff>447675</xdr:colOff>
                <xdr:row>18</xdr:row>
                <xdr:rowOff>0</xdr:rowOff>
              </to>
            </anchor>
          </controlPr>
        </control>
      </mc:Choice>
      <mc:Fallback>
        <control shapeId="4103" r:id="rId20" name="ComboBox3"/>
      </mc:Fallback>
    </mc:AlternateContent>
    <mc:AlternateContent xmlns:mc="http://schemas.openxmlformats.org/markup-compatibility/2006">
      <mc:Choice Requires="x14">
        <control shapeId="4102" r:id="rId22" name="ComboBox2">
          <controlPr defaultSize="0" autoLine="0" listFillRange="Allergens" r:id="rId23">
            <anchor moveWithCells="1">
              <from>
                <xdr:col>8</xdr:col>
                <xdr:colOff>180975</xdr:colOff>
                <xdr:row>18</xdr:row>
                <xdr:rowOff>28575</xdr:rowOff>
              </from>
              <to>
                <xdr:col>9</xdr:col>
                <xdr:colOff>447675</xdr:colOff>
                <xdr:row>19</xdr:row>
                <xdr:rowOff>0</xdr:rowOff>
              </to>
            </anchor>
          </controlPr>
        </control>
      </mc:Choice>
      <mc:Fallback>
        <control shapeId="4102" r:id="rId22" name="ComboBox2"/>
      </mc:Fallback>
    </mc:AlternateContent>
    <mc:AlternateContent xmlns:mc="http://schemas.openxmlformats.org/markup-compatibility/2006">
      <mc:Choice Requires="x14">
        <control shapeId="4101" r:id="rId24" name="ComboBox1">
          <controlPr defaultSize="0" autoLine="0" listFillRange="Allergens" r:id="rId25">
            <anchor moveWithCells="1">
              <from>
                <xdr:col>8</xdr:col>
                <xdr:colOff>180975</xdr:colOff>
                <xdr:row>19</xdr:row>
                <xdr:rowOff>28575</xdr:rowOff>
              </from>
              <to>
                <xdr:col>9</xdr:col>
                <xdr:colOff>438150</xdr:colOff>
                <xdr:row>20</xdr:row>
                <xdr:rowOff>0</xdr:rowOff>
              </to>
            </anchor>
          </controlPr>
        </control>
      </mc:Choice>
      <mc:Fallback>
        <control shapeId="4101" r:id="rId24" name="ComboBox1"/>
      </mc:Fallback>
    </mc:AlternateContent>
    <mc:AlternateContent xmlns:mc="http://schemas.openxmlformats.org/markup-compatibility/2006">
      <mc:Choice Requires="x14">
        <control shapeId="4100" r:id="rId26" name="ComboBox6">
          <controlPr defaultSize="0" autoLine="0" listFillRange="Allergens" r:id="rId27">
            <anchor moveWithCells="1">
              <from>
                <xdr:col>8</xdr:col>
                <xdr:colOff>190500</xdr:colOff>
                <xdr:row>15</xdr:row>
                <xdr:rowOff>76200</xdr:rowOff>
              </from>
              <to>
                <xdr:col>9</xdr:col>
                <xdr:colOff>447675</xdr:colOff>
                <xdr:row>16</xdr:row>
                <xdr:rowOff>47625</xdr:rowOff>
              </to>
            </anchor>
          </controlPr>
        </control>
      </mc:Choice>
      <mc:Fallback>
        <control shapeId="4100" r:id="rId26" name="ComboBox6"/>
      </mc:Fallback>
    </mc:AlternateContent>
    <mc:AlternateContent xmlns:mc="http://schemas.openxmlformats.org/markup-compatibility/2006">
      <mc:Choice Requires="x14">
        <control shapeId="4099" r:id="rId28" name="Varietal">
          <controlPr locked="0" defaultSize="0" autoLine="0" altText="Varietal" listFillRange="Varietal" r:id="rId29">
            <anchor moveWithCells="1" sizeWithCells="1">
              <from>
                <xdr:col>1</xdr:col>
                <xdr:colOff>133350</xdr:colOff>
                <xdr:row>5</xdr:row>
                <xdr:rowOff>47625</xdr:rowOff>
              </from>
              <to>
                <xdr:col>4</xdr:col>
                <xdr:colOff>428625</xdr:colOff>
                <xdr:row>5</xdr:row>
                <xdr:rowOff>314325</xdr:rowOff>
              </to>
            </anchor>
          </controlPr>
        </control>
      </mc:Choice>
      <mc:Fallback>
        <control shapeId="4099" r:id="rId28" name="Varietal"/>
      </mc:Fallback>
    </mc:AlternateContent>
    <mc:AlternateContent xmlns:mc="http://schemas.openxmlformats.org/markup-compatibility/2006">
      <mc:Choice Requires="x14">
        <control shapeId="4098" r:id="rId30" name="Brand">
          <controlPr locked="0" defaultSize="0" autoLine="0" listFillRange="Brand" r:id="rId31">
            <anchor moveWithCells="1" sizeWithCells="1">
              <from>
                <xdr:col>1</xdr:col>
                <xdr:colOff>542925</xdr:colOff>
                <xdr:row>4</xdr:row>
                <xdr:rowOff>66675</xdr:rowOff>
              </from>
              <to>
                <xdr:col>3</xdr:col>
                <xdr:colOff>504825</xdr:colOff>
                <xdr:row>4</xdr:row>
                <xdr:rowOff>333375</xdr:rowOff>
              </to>
            </anchor>
          </controlPr>
        </control>
      </mc:Choice>
      <mc:Fallback>
        <control shapeId="4098" r:id="rId30" name="Brand"/>
      </mc:Fallback>
    </mc:AlternateContent>
    <mc:AlternateContent xmlns:mc="http://schemas.openxmlformats.org/markup-compatibility/2006">
      <mc:Choice Requires="x14">
        <control shapeId="4097" r:id="rId32" name="Vintage">
          <controlPr locked="0" defaultSize="0" autoLine="0" autoPict="0" listFillRange="vintage1" r:id="rId33">
            <anchor moveWithCells="1" sizeWithCells="1">
              <from>
                <xdr:col>2</xdr:col>
                <xdr:colOff>257175</xdr:colOff>
                <xdr:row>3</xdr:row>
                <xdr:rowOff>47625</xdr:rowOff>
              </from>
              <to>
                <xdr:col>3</xdr:col>
                <xdr:colOff>409575</xdr:colOff>
                <xdr:row>3</xdr:row>
                <xdr:rowOff>304800</xdr:rowOff>
              </to>
            </anchor>
          </controlPr>
        </control>
      </mc:Choice>
      <mc:Fallback>
        <control shapeId="4097" r:id="rId32" name="Vintage"/>
      </mc:Fallback>
    </mc:AlternateContent>
    <mc:AlternateContent xmlns:mc="http://schemas.openxmlformats.org/markup-compatibility/2006">
      <mc:Choice Requires="x14">
        <control shapeId="4120" r:id="rId34" name="ComboBox13">
          <controlPr defaultSize="0" autoLine="0" listFillRange="Pass_Fail" r:id="rId9">
            <anchor moveWithCells="1">
              <from>
                <xdr:col>10</xdr:col>
                <xdr:colOff>38100</xdr:colOff>
                <xdr:row>29</xdr:row>
                <xdr:rowOff>0</xdr:rowOff>
              </from>
              <to>
                <xdr:col>10</xdr:col>
                <xdr:colOff>895350</xdr:colOff>
                <xdr:row>30</xdr:row>
                <xdr:rowOff>0</xdr:rowOff>
              </to>
            </anchor>
          </controlPr>
        </control>
      </mc:Choice>
      <mc:Fallback>
        <control shapeId="4120" r:id="rId34" name="ComboBox13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S75"/>
  <sheetViews>
    <sheetView topLeftCell="A25" workbookViewId="0">
      <selection activeCell="G31" sqref="G31:G75"/>
    </sheetView>
  </sheetViews>
  <sheetFormatPr defaultRowHeight="12.75" x14ac:dyDescent="0.2"/>
  <cols>
    <col min="3" max="3" width="15" customWidth="1"/>
    <col min="4" max="4" width="15.5703125" customWidth="1"/>
    <col min="6" max="6" width="12.85546875" customWidth="1"/>
    <col min="7" max="7" width="19" customWidth="1"/>
    <col min="8" max="8" width="11.85546875" customWidth="1"/>
    <col min="9" max="9" width="13.140625" customWidth="1"/>
    <col min="10" max="10" width="10" customWidth="1"/>
    <col min="14" max="14" width="11.28515625" customWidth="1"/>
  </cols>
  <sheetData>
    <row r="1" spans="1:45" x14ac:dyDescent="0.2">
      <c r="A1" t="s">
        <v>18</v>
      </c>
      <c r="B1" t="s">
        <v>19</v>
      </c>
      <c r="C1" t="s">
        <v>20</v>
      </c>
      <c r="D1" t="s">
        <v>21</v>
      </c>
    </row>
    <row r="2" spans="1:45" x14ac:dyDescent="0.2">
      <c r="A2">
        <v>2014</v>
      </c>
      <c r="B2" t="s">
        <v>40</v>
      </c>
      <c r="C2" t="s">
        <v>37</v>
      </c>
      <c r="D2" t="s">
        <v>58</v>
      </c>
    </row>
    <row r="3" spans="1:45" x14ac:dyDescent="0.2">
      <c r="A3">
        <v>2015</v>
      </c>
      <c r="B3" t="s">
        <v>41</v>
      </c>
      <c r="C3" t="s">
        <v>38</v>
      </c>
      <c r="D3" t="s">
        <v>57</v>
      </c>
    </row>
    <row r="4" spans="1:45" x14ac:dyDescent="0.2">
      <c r="A4">
        <v>2016</v>
      </c>
      <c r="B4" t="s">
        <v>42</v>
      </c>
      <c r="C4" t="s">
        <v>33</v>
      </c>
      <c r="D4" t="s">
        <v>22</v>
      </c>
    </row>
    <row r="5" spans="1:45" x14ac:dyDescent="0.2">
      <c r="A5">
        <v>2017</v>
      </c>
      <c r="B5" t="s">
        <v>43</v>
      </c>
      <c r="C5" t="s">
        <v>30</v>
      </c>
      <c r="D5" t="s">
        <v>56</v>
      </c>
    </row>
    <row r="6" spans="1:45" x14ac:dyDescent="0.2">
      <c r="A6">
        <v>2018</v>
      </c>
      <c r="B6" t="s">
        <v>44</v>
      </c>
      <c r="C6" t="s">
        <v>23</v>
      </c>
    </row>
    <row r="7" spans="1:45" x14ac:dyDescent="0.2">
      <c r="B7" t="s">
        <v>45</v>
      </c>
      <c r="C7" t="s">
        <v>36</v>
      </c>
    </row>
    <row r="8" spans="1:45" x14ac:dyDescent="0.2">
      <c r="B8" t="s">
        <v>46</v>
      </c>
      <c r="C8" t="s">
        <v>35</v>
      </c>
      <c r="D8" s="19" t="s">
        <v>61</v>
      </c>
    </row>
    <row r="9" spans="1:45" x14ac:dyDescent="0.2">
      <c r="B9" t="s">
        <v>47</v>
      </c>
      <c r="C9" t="s">
        <v>31</v>
      </c>
      <c r="D9" s="19" t="s">
        <v>62</v>
      </c>
    </row>
    <row r="10" spans="1:45" x14ac:dyDescent="0.2">
      <c r="B10" t="s">
        <v>48</v>
      </c>
      <c r="C10" t="s">
        <v>24</v>
      </c>
    </row>
    <row r="11" spans="1:45" x14ac:dyDescent="0.2">
      <c r="B11" t="s">
        <v>49</v>
      </c>
      <c r="C11" t="s">
        <v>25</v>
      </c>
      <c r="D11" s="19" t="s">
        <v>53</v>
      </c>
    </row>
    <row r="12" spans="1:45" ht="15.75" customHeight="1" x14ac:dyDescent="0.2">
      <c r="B12" t="s">
        <v>50</v>
      </c>
      <c r="C12" t="s">
        <v>29</v>
      </c>
      <c r="D12" s="19" t="s">
        <v>54</v>
      </c>
    </row>
    <row r="13" spans="1:45" hidden="1" x14ac:dyDescent="0.2">
      <c r="A13" s="163" t="s">
        <v>55</v>
      </c>
      <c r="B13" t="s">
        <v>51</v>
      </c>
      <c r="C13" t="s">
        <v>32</v>
      </c>
      <c r="D13" s="19" t="s">
        <v>55</v>
      </c>
      <c r="F13" t="s">
        <v>51</v>
      </c>
    </row>
    <row r="14" spans="1:45" ht="56.25" customHeight="1" x14ac:dyDescent="0.2">
      <c r="A14" s="163" t="s">
        <v>89</v>
      </c>
      <c r="B14" t="s">
        <v>52</v>
      </c>
      <c r="C14" t="s">
        <v>26</v>
      </c>
      <c r="H14" s="181"/>
      <c r="I14" s="181"/>
      <c r="J14" s="181"/>
      <c r="K14" s="181"/>
      <c r="L14" s="181"/>
      <c r="M14" s="181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  <c r="AA14" s="181"/>
      <c r="AB14" s="181"/>
      <c r="AC14" s="181"/>
      <c r="AD14" s="181"/>
      <c r="AE14" s="181"/>
      <c r="AF14" s="181"/>
      <c r="AG14" s="181"/>
      <c r="AH14" s="181"/>
      <c r="AI14" s="181"/>
      <c r="AJ14" s="180"/>
      <c r="AK14" s="180"/>
      <c r="AL14" s="180"/>
      <c r="AM14" s="180"/>
      <c r="AN14" s="180"/>
      <c r="AO14" s="180"/>
      <c r="AP14" s="180"/>
      <c r="AQ14" s="180"/>
      <c r="AR14" s="180"/>
      <c r="AS14" s="180"/>
    </row>
    <row r="15" spans="1:45" ht="22.5" x14ac:dyDescent="0.2">
      <c r="A15" s="163" t="s">
        <v>90</v>
      </c>
      <c r="B15" t="s">
        <v>39</v>
      </c>
      <c r="C15" t="s">
        <v>28</v>
      </c>
      <c r="D15" s="19" t="s">
        <v>63</v>
      </c>
      <c r="F15" s="182"/>
      <c r="G15" s="182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80"/>
      <c r="AH15" s="180"/>
      <c r="AI15" s="180"/>
      <c r="AJ15" s="180"/>
      <c r="AK15" s="180"/>
      <c r="AL15" s="180"/>
      <c r="AM15" s="180"/>
      <c r="AN15" s="180"/>
      <c r="AO15" s="180"/>
      <c r="AP15" s="180"/>
      <c r="AQ15" s="180"/>
      <c r="AR15" s="180"/>
      <c r="AS15" s="180"/>
    </row>
    <row r="16" spans="1:45" ht="22.5" x14ac:dyDescent="0.2">
      <c r="A16" s="163" t="s">
        <v>91</v>
      </c>
      <c r="C16" t="s">
        <v>27</v>
      </c>
      <c r="D16" s="19" t="s">
        <v>64</v>
      </c>
      <c r="F16" s="182"/>
      <c r="G16" s="182"/>
      <c r="H16" s="180"/>
      <c r="I16" s="180"/>
      <c r="J16" s="180"/>
      <c r="K16" s="180"/>
      <c r="L16" s="180"/>
      <c r="M16" s="180"/>
      <c r="N16" s="180"/>
      <c r="O16" s="180"/>
      <c r="P16" s="180"/>
      <c r="Q16" s="180"/>
      <c r="R16" s="180"/>
      <c r="S16" s="180"/>
      <c r="T16" s="180"/>
      <c r="U16" s="180"/>
      <c r="V16" s="180"/>
      <c r="W16" s="180"/>
      <c r="X16" s="180"/>
      <c r="Y16" s="180"/>
      <c r="Z16" s="180"/>
      <c r="AA16" s="180"/>
      <c r="AB16" s="180"/>
      <c r="AC16" s="180"/>
      <c r="AD16" s="180"/>
      <c r="AE16" s="180"/>
      <c r="AF16" s="180"/>
      <c r="AG16" s="180"/>
      <c r="AH16" s="180"/>
      <c r="AI16" s="180"/>
      <c r="AJ16" s="180"/>
      <c r="AK16" s="180"/>
      <c r="AL16" s="180"/>
      <c r="AM16" s="180"/>
      <c r="AN16" s="180"/>
      <c r="AO16" s="180"/>
      <c r="AP16" s="180"/>
      <c r="AQ16" s="180"/>
      <c r="AR16" s="180"/>
      <c r="AS16" s="180"/>
    </row>
    <row r="17" spans="3:45" ht="15" x14ac:dyDescent="0.2">
      <c r="C17" s="191" t="s">
        <v>123</v>
      </c>
      <c r="D17" s="19" t="s">
        <v>65</v>
      </c>
      <c r="F17" s="182"/>
      <c r="G17" s="182"/>
      <c r="H17" s="180"/>
      <c r="I17" s="180"/>
      <c r="J17" s="180"/>
      <c r="K17" s="180"/>
      <c r="L17" s="180"/>
      <c r="M17" s="180"/>
      <c r="N17" s="180"/>
      <c r="O17" s="180"/>
      <c r="P17" s="180"/>
      <c r="Q17" s="180"/>
      <c r="R17" s="180"/>
      <c r="S17" s="180"/>
      <c r="T17" s="180"/>
      <c r="U17" s="180"/>
      <c r="V17" s="180"/>
      <c r="W17" s="180"/>
      <c r="X17" s="180"/>
      <c r="Y17" s="180"/>
      <c r="Z17" s="180"/>
      <c r="AA17" s="180"/>
      <c r="AB17" s="180"/>
      <c r="AC17" s="180"/>
      <c r="AD17" s="180"/>
      <c r="AE17" s="180"/>
      <c r="AF17" s="180"/>
      <c r="AG17" s="180"/>
      <c r="AH17" s="180"/>
      <c r="AI17" s="180"/>
      <c r="AJ17" s="180"/>
      <c r="AK17" s="180"/>
      <c r="AL17" s="180"/>
      <c r="AM17" s="180"/>
      <c r="AN17" s="180"/>
      <c r="AO17" s="180"/>
      <c r="AP17" s="180"/>
      <c r="AQ17" s="180"/>
      <c r="AR17" s="180"/>
      <c r="AS17" s="180"/>
    </row>
    <row r="18" spans="3:45" ht="15" x14ac:dyDescent="0.2">
      <c r="C18" t="s">
        <v>34</v>
      </c>
      <c r="D18" s="19" t="s">
        <v>66</v>
      </c>
      <c r="F18" s="182"/>
      <c r="G18" s="182"/>
      <c r="H18" s="180"/>
      <c r="I18" s="180"/>
      <c r="J18" s="180"/>
      <c r="K18" s="180"/>
      <c r="L18" s="180"/>
      <c r="M18" s="180"/>
      <c r="N18" s="180"/>
      <c r="O18" s="180"/>
      <c r="P18" s="180"/>
      <c r="Q18" s="180"/>
      <c r="R18" s="180"/>
      <c r="S18" s="180"/>
      <c r="T18" s="180"/>
      <c r="U18" s="180"/>
      <c r="V18" s="180"/>
      <c r="W18" s="180"/>
      <c r="X18" s="180"/>
      <c r="Y18" s="180"/>
      <c r="Z18" s="180"/>
      <c r="AA18" s="180"/>
      <c r="AB18" s="180"/>
      <c r="AC18" s="180"/>
      <c r="AD18" s="180"/>
      <c r="AE18" s="180"/>
      <c r="AF18" s="180"/>
      <c r="AG18" s="180"/>
      <c r="AH18" s="180"/>
      <c r="AI18" s="180"/>
      <c r="AJ18" s="180"/>
      <c r="AK18" s="180"/>
      <c r="AL18" s="180"/>
      <c r="AM18" s="180"/>
      <c r="AN18" s="180"/>
      <c r="AO18" s="180"/>
      <c r="AP18" s="180"/>
      <c r="AQ18" s="180"/>
      <c r="AR18" s="180"/>
      <c r="AS18" s="180"/>
    </row>
    <row r="19" spans="3:45" ht="15" x14ac:dyDescent="0.2">
      <c r="C19" t="s">
        <v>39</v>
      </c>
      <c r="D19" s="19" t="s">
        <v>45</v>
      </c>
      <c r="F19" s="182"/>
      <c r="G19" s="182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180"/>
      <c r="X19" s="180"/>
      <c r="Y19" s="180"/>
      <c r="Z19" s="180"/>
      <c r="AA19" s="180"/>
      <c r="AB19" s="180"/>
      <c r="AC19" s="180"/>
      <c r="AD19" s="180"/>
      <c r="AE19" s="180"/>
      <c r="AF19" s="180"/>
      <c r="AG19" s="180"/>
      <c r="AH19" s="180"/>
      <c r="AI19" s="180"/>
      <c r="AJ19" s="180"/>
      <c r="AK19" s="180"/>
      <c r="AL19" s="180"/>
      <c r="AM19" s="180"/>
      <c r="AN19" s="180"/>
      <c r="AO19" s="180"/>
      <c r="AP19" s="180"/>
      <c r="AQ19" s="180"/>
      <c r="AR19" s="180"/>
      <c r="AS19" s="180"/>
    </row>
    <row r="20" spans="3:45" ht="15" x14ac:dyDescent="0.2">
      <c r="D20" s="19" t="s">
        <v>52</v>
      </c>
      <c r="F20" s="182"/>
      <c r="G20" s="182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180"/>
      <c r="X20" s="180"/>
      <c r="Y20" s="180"/>
      <c r="Z20" s="180"/>
      <c r="AA20" s="180"/>
      <c r="AB20" s="180"/>
      <c r="AC20" s="180"/>
      <c r="AD20" s="180"/>
      <c r="AE20" s="180"/>
      <c r="AF20" s="180"/>
      <c r="AG20" s="180"/>
      <c r="AH20" s="180"/>
      <c r="AI20" s="180"/>
      <c r="AJ20" s="180"/>
      <c r="AK20" s="180"/>
      <c r="AL20" s="180"/>
      <c r="AM20" s="180"/>
      <c r="AN20" s="180"/>
      <c r="AO20" s="180"/>
      <c r="AP20" s="180"/>
      <c r="AQ20" s="180"/>
      <c r="AR20" s="180"/>
      <c r="AS20" s="180"/>
    </row>
    <row r="21" spans="3:45" ht="15" x14ac:dyDescent="0.2">
      <c r="F21" s="183"/>
      <c r="G21" s="183"/>
      <c r="H21" s="180"/>
      <c r="I21" s="180"/>
      <c r="J21" s="180"/>
      <c r="K21" s="180"/>
      <c r="L21" s="180"/>
      <c r="M21" s="180"/>
      <c r="N21" s="180"/>
      <c r="O21" s="180"/>
      <c r="P21" s="180"/>
      <c r="Q21" s="180"/>
      <c r="R21" s="180"/>
      <c r="S21" s="180"/>
      <c r="T21" s="180"/>
      <c r="U21" s="180"/>
      <c r="V21" s="180"/>
      <c r="W21" s="180"/>
      <c r="X21" s="180"/>
      <c r="Y21" s="180"/>
      <c r="Z21" s="180"/>
      <c r="AA21" s="180"/>
      <c r="AB21" s="180"/>
      <c r="AC21" s="180"/>
      <c r="AD21" s="180"/>
      <c r="AE21" s="180"/>
      <c r="AF21" s="180"/>
      <c r="AG21" s="180"/>
      <c r="AH21" s="180"/>
      <c r="AI21" s="180"/>
      <c r="AJ21" s="180"/>
      <c r="AK21" s="180"/>
      <c r="AL21" s="180"/>
      <c r="AM21" s="180"/>
      <c r="AN21" s="180"/>
      <c r="AO21" s="180"/>
      <c r="AP21" s="180"/>
      <c r="AQ21" s="180"/>
      <c r="AR21" s="180"/>
      <c r="AS21" s="180"/>
    </row>
    <row r="22" spans="3:45" ht="15" x14ac:dyDescent="0.2">
      <c r="F22" s="182"/>
      <c r="G22" s="182"/>
      <c r="H22" s="180"/>
      <c r="I22" s="180"/>
      <c r="J22" s="180"/>
      <c r="K22" s="180"/>
      <c r="L22" s="180"/>
      <c r="M22" s="180"/>
      <c r="N22" s="180"/>
      <c r="O22" s="180"/>
      <c r="P22" s="180"/>
      <c r="Q22" s="180"/>
      <c r="R22" s="180"/>
      <c r="S22" s="180"/>
      <c r="T22" s="180"/>
      <c r="U22" s="180"/>
      <c r="V22" s="180"/>
      <c r="W22" s="180"/>
      <c r="X22" s="180"/>
      <c r="Y22" s="180"/>
      <c r="Z22" s="180"/>
      <c r="AA22" s="180"/>
      <c r="AB22" s="180"/>
      <c r="AC22" s="180"/>
      <c r="AD22" s="180"/>
      <c r="AE22" s="180"/>
      <c r="AF22" s="180"/>
      <c r="AG22" s="180"/>
      <c r="AH22" s="180"/>
      <c r="AI22" s="180"/>
      <c r="AJ22" s="180"/>
      <c r="AK22" s="180"/>
      <c r="AL22" s="180"/>
      <c r="AM22" s="180"/>
      <c r="AN22" s="180"/>
      <c r="AO22" s="180"/>
      <c r="AP22" s="180"/>
      <c r="AQ22" s="180"/>
      <c r="AR22" s="180"/>
      <c r="AS22" s="180"/>
    </row>
    <row r="23" spans="3:45" ht="15" x14ac:dyDescent="0.2">
      <c r="F23" s="182"/>
      <c r="G23" s="182"/>
      <c r="H23" s="180"/>
      <c r="I23" s="180"/>
      <c r="J23" s="180"/>
      <c r="K23" s="180"/>
      <c r="L23" s="180"/>
      <c r="M23" s="180"/>
      <c r="N23" s="180"/>
      <c r="O23" s="180"/>
      <c r="P23" s="180"/>
      <c r="Q23" s="180"/>
      <c r="R23" s="180"/>
      <c r="S23" s="180"/>
      <c r="T23" s="180"/>
      <c r="U23" s="180"/>
      <c r="V23" s="180"/>
      <c r="W23" s="180"/>
      <c r="X23" s="180"/>
      <c r="Y23" s="180"/>
      <c r="Z23" s="180"/>
      <c r="AA23" s="180"/>
      <c r="AB23" s="180"/>
      <c r="AC23" s="180"/>
      <c r="AD23" s="180"/>
      <c r="AE23" s="180"/>
      <c r="AF23" s="180"/>
      <c r="AG23" s="180"/>
      <c r="AH23" s="180"/>
      <c r="AI23" s="180"/>
      <c r="AJ23" s="180"/>
      <c r="AK23" s="180"/>
      <c r="AL23" s="180"/>
      <c r="AM23" s="180"/>
      <c r="AN23" s="180"/>
      <c r="AO23" s="180"/>
      <c r="AP23" s="180"/>
      <c r="AQ23" s="180"/>
      <c r="AR23" s="180"/>
      <c r="AS23" s="180"/>
    </row>
    <row r="24" spans="3:45" ht="15" customHeight="1" x14ac:dyDescent="0.2">
      <c r="F24" s="184"/>
      <c r="G24" s="184"/>
      <c r="H24" s="180"/>
      <c r="I24" s="180"/>
      <c r="J24" s="180"/>
      <c r="K24" s="180"/>
      <c r="L24" s="180"/>
      <c r="M24" s="180"/>
      <c r="N24" s="180"/>
      <c r="O24" s="180"/>
      <c r="P24" s="180"/>
      <c r="Q24" s="180"/>
      <c r="R24" s="180"/>
      <c r="S24" s="180"/>
      <c r="T24" s="180"/>
      <c r="U24" s="180"/>
      <c r="V24" s="180"/>
      <c r="W24" s="180"/>
      <c r="X24" s="180"/>
      <c r="Y24" s="180"/>
      <c r="Z24" s="180"/>
      <c r="AA24" s="180"/>
      <c r="AB24" s="180"/>
      <c r="AC24" s="180"/>
      <c r="AD24" s="180"/>
      <c r="AE24" s="180"/>
      <c r="AF24" s="180"/>
      <c r="AG24" s="180"/>
      <c r="AH24" s="180"/>
      <c r="AI24" s="180"/>
      <c r="AJ24" s="180"/>
      <c r="AK24" s="180"/>
      <c r="AL24" s="180"/>
      <c r="AM24" s="180"/>
      <c r="AN24" s="180"/>
      <c r="AO24" s="180"/>
      <c r="AP24" s="180"/>
      <c r="AQ24" s="180"/>
      <c r="AR24" s="180"/>
      <c r="AS24" s="180"/>
    </row>
    <row r="25" spans="3:45" ht="15" x14ac:dyDescent="0.2">
      <c r="F25" s="182"/>
      <c r="G25" s="182"/>
      <c r="H25" s="180"/>
      <c r="I25" s="180"/>
      <c r="J25" s="180"/>
      <c r="K25" s="180"/>
      <c r="L25" s="180"/>
      <c r="M25" s="180"/>
      <c r="N25" s="180"/>
      <c r="O25" s="180"/>
      <c r="P25" s="180"/>
      <c r="Q25" s="180"/>
      <c r="R25" s="180"/>
      <c r="S25" s="180"/>
      <c r="T25" s="180"/>
      <c r="U25" s="180"/>
      <c r="V25" s="180"/>
      <c r="W25" s="180"/>
      <c r="X25" s="180"/>
      <c r="Y25" s="180"/>
      <c r="Z25" s="180"/>
      <c r="AA25" s="180"/>
      <c r="AB25" s="180"/>
      <c r="AC25" s="180"/>
      <c r="AD25" s="180"/>
      <c r="AE25" s="180"/>
      <c r="AF25" s="180"/>
      <c r="AG25" s="180"/>
      <c r="AH25" s="180"/>
      <c r="AI25" s="180"/>
      <c r="AJ25" s="180"/>
      <c r="AK25" s="180"/>
      <c r="AL25" s="180"/>
      <c r="AM25" s="180"/>
      <c r="AN25" s="180"/>
      <c r="AO25" s="180"/>
      <c r="AP25" s="180"/>
      <c r="AQ25" s="180"/>
      <c r="AR25" s="180"/>
      <c r="AS25" s="180"/>
    </row>
    <row r="26" spans="3:45" ht="15" x14ac:dyDescent="0.2">
      <c r="F26" s="182"/>
      <c r="G26" s="182"/>
      <c r="H26" s="180"/>
      <c r="I26" s="180"/>
      <c r="J26" s="180"/>
      <c r="K26" s="180"/>
      <c r="L26" s="180"/>
      <c r="M26" s="180"/>
      <c r="N26" s="180"/>
      <c r="O26" s="180"/>
      <c r="P26" s="180"/>
      <c r="Q26" s="180"/>
      <c r="R26" s="180"/>
      <c r="S26" s="180"/>
      <c r="T26" s="180"/>
      <c r="U26" s="180"/>
      <c r="V26" s="180"/>
      <c r="W26" s="180"/>
      <c r="X26" s="180"/>
      <c r="Y26" s="180"/>
      <c r="Z26" s="180"/>
      <c r="AA26" s="180"/>
      <c r="AB26" s="180"/>
      <c r="AC26" s="180"/>
      <c r="AD26" s="180"/>
      <c r="AE26" s="180"/>
      <c r="AF26" s="180"/>
      <c r="AG26" s="180"/>
      <c r="AH26" s="180"/>
      <c r="AI26" s="180"/>
      <c r="AJ26" s="180"/>
      <c r="AK26" s="180"/>
      <c r="AL26" s="180"/>
      <c r="AM26" s="180"/>
      <c r="AN26" s="180"/>
      <c r="AO26" s="180"/>
      <c r="AP26" s="180"/>
      <c r="AQ26" s="180"/>
      <c r="AR26" s="180"/>
      <c r="AS26" s="180"/>
    </row>
    <row r="27" spans="3:45" ht="15" x14ac:dyDescent="0.2">
      <c r="F27" s="182"/>
      <c r="G27" s="182"/>
      <c r="H27" s="180"/>
      <c r="I27" s="180"/>
      <c r="J27" s="180"/>
      <c r="K27" s="180"/>
      <c r="L27" s="180"/>
      <c r="M27" s="180"/>
      <c r="N27" s="180"/>
      <c r="O27" s="180"/>
      <c r="P27" s="180"/>
      <c r="Q27" s="180"/>
      <c r="R27" s="180"/>
      <c r="S27" s="180"/>
      <c r="T27" s="180"/>
      <c r="U27" s="180"/>
      <c r="V27" s="180"/>
      <c r="W27" s="180"/>
      <c r="X27" s="180"/>
      <c r="Y27" s="180"/>
      <c r="Z27" s="180"/>
      <c r="AA27" s="180"/>
      <c r="AB27" s="180"/>
      <c r="AC27" s="180"/>
      <c r="AD27" s="180"/>
      <c r="AE27" s="180"/>
      <c r="AF27" s="180"/>
      <c r="AG27" s="180"/>
      <c r="AH27" s="180"/>
      <c r="AI27" s="180"/>
      <c r="AJ27" s="180"/>
      <c r="AK27" s="180"/>
      <c r="AL27" s="180"/>
      <c r="AM27" s="180"/>
      <c r="AN27" s="180"/>
      <c r="AO27" s="180"/>
      <c r="AP27" s="180"/>
      <c r="AQ27" s="180"/>
      <c r="AR27" s="180"/>
      <c r="AS27" s="180"/>
    </row>
    <row r="28" spans="3:45" ht="15" x14ac:dyDescent="0.2">
      <c r="F28" s="182"/>
      <c r="G28" s="182"/>
      <c r="H28" s="180"/>
      <c r="I28" s="180"/>
      <c r="J28" s="180"/>
      <c r="K28" s="180"/>
      <c r="L28" s="180"/>
      <c r="M28" s="180"/>
      <c r="N28" s="180"/>
      <c r="O28" s="180"/>
      <c r="P28" s="180"/>
      <c r="Q28" s="180"/>
      <c r="R28" s="180"/>
      <c r="S28" s="180"/>
      <c r="T28" s="180"/>
      <c r="U28" s="180"/>
      <c r="V28" s="180"/>
      <c r="W28" s="180"/>
      <c r="X28" s="180"/>
      <c r="Y28" s="180"/>
      <c r="Z28" s="180"/>
      <c r="AA28" s="180"/>
      <c r="AB28" s="180"/>
      <c r="AC28" s="180"/>
      <c r="AD28" s="180"/>
      <c r="AE28" s="180"/>
      <c r="AF28" s="180"/>
      <c r="AG28" s="180"/>
      <c r="AH28" s="180"/>
      <c r="AI28" s="180"/>
      <c r="AJ28" s="180"/>
      <c r="AK28" s="180"/>
      <c r="AL28" s="180"/>
      <c r="AM28" s="180"/>
    </row>
    <row r="29" spans="3:45" x14ac:dyDescent="0.2"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S29" s="180"/>
      <c r="T29" s="180"/>
      <c r="U29" s="180"/>
      <c r="V29" s="180"/>
      <c r="W29" s="180"/>
      <c r="X29" s="180"/>
      <c r="Y29" s="180"/>
      <c r="Z29" s="180"/>
      <c r="AA29" s="180"/>
      <c r="AB29" s="180"/>
      <c r="AC29" s="180"/>
      <c r="AD29" s="180"/>
      <c r="AE29" s="180"/>
      <c r="AF29" s="180"/>
      <c r="AG29" s="180"/>
      <c r="AH29" s="180"/>
      <c r="AI29" s="180"/>
      <c r="AJ29" s="180"/>
      <c r="AK29" s="180"/>
      <c r="AL29" s="180"/>
      <c r="AM29" s="180"/>
    </row>
    <row r="30" spans="3:45" ht="31.5" x14ac:dyDescent="0.2">
      <c r="H30" s="182" t="s">
        <v>8</v>
      </c>
      <c r="I30" s="182" t="s">
        <v>15</v>
      </c>
      <c r="J30" s="182" t="s">
        <v>119</v>
      </c>
      <c r="K30" s="182" t="s">
        <v>102</v>
      </c>
      <c r="L30" s="182" t="s">
        <v>120</v>
      </c>
      <c r="M30" s="182" t="s">
        <v>121</v>
      </c>
      <c r="N30" s="183"/>
      <c r="O30" s="182" t="s">
        <v>1</v>
      </c>
      <c r="P30" s="182" t="s">
        <v>16</v>
      </c>
      <c r="Q30" s="184" t="s">
        <v>122</v>
      </c>
      <c r="R30" s="182" t="s">
        <v>71</v>
      </c>
      <c r="S30" s="182" t="s">
        <v>6</v>
      </c>
      <c r="T30" s="182" t="s">
        <v>7</v>
      </c>
      <c r="U30" s="182" t="s">
        <v>77</v>
      </c>
    </row>
    <row r="31" spans="3:45" x14ac:dyDescent="0.2">
      <c r="G31" s="181" t="s">
        <v>105</v>
      </c>
      <c r="I31" s="180">
        <v>13.5</v>
      </c>
      <c r="J31" s="180" t="s">
        <v>103</v>
      </c>
      <c r="K31" s="180" t="s">
        <v>109</v>
      </c>
    </row>
    <row r="32" spans="3:45" x14ac:dyDescent="0.2">
      <c r="G32" s="181" t="s">
        <v>106</v>
      </c>
      <c r="I32" s="180">
        <v>13.5</v>
      </c>
      <c r="J32" s="180" t="s">
        <v>108</v>
      </c>
      <c r="K32" s="180" t="s">
        <v>107</v>
      </c>
    </row>
    <row r="33" spans="7:11" x14ac:dyDescent="0.2">
      <c r="G33" s="181" t="s">
        <v>110</v>
      </c>
      <c r="I33" s="180">
        <v>13.5</v>
      </c>
      <c r="J33" s="180" t="s">
        <v>112</v>
      </c>
      <c r="K33" s="180" t="s">
        <v>107</v>
      </c>
    </row>
    <row r="34" spans="7:11" ht="25.5" x14ac:dyDescent="0.2">
      <c r="G34" s="181" t="s">
        <v>111</v>
      </c>
      <c r="I34" s="180">
        <v>13</v>
      </c>
      <c r="J34" s="180" t="s">
        <v>113</v>
      </c>
      <c r="K34" s="180" t="s">
        <v>107</v>
      </c>
    </row>
    <row r="35" spans="7:11" ht="25.5" x14ac:dyDescent="0.2">
      <c r="G35" s="181" t="s">
        <v>114</v>
      </c>
      <c r="I35" s="180">
        <v>12.5</v>
      </c>
      <c r="J35" s="180" t="s">
        <v>115</v>
      </c>
      <c r="K35" s="180" t="s">
        <v>107</v>
      </c>
    </row>
    <row r="36" spans="7:11" x14ac:dyDescent="0.2">
      <c r="G36" s="181" t="s">
        <v>116</v>
      </c>
      <c r="I36" s="180">
        <v>13.5</v>
      </c>
      <c r="J36" s="180" t="s">
        <v>118</v>
      </c>
      <c r="K36" s="180" t="s">
        <v>107</v>
      </c>
    </row>
    <row r="37" spans="7:11" ht="25.5" x14ac:dyDescent="0.2">
      <c r="G37" s="181" t="s">
        <v>117</v>
      </c>
      <c r="I37" s="180">
        <v>13.5</v>
      </c>
      <c r="J37" s="180" t="s">
        <v>108</v>
      </c>
      <c r="K37" s="180" t="s">
        <v>107</v>
      </c>
    </row>
    <row r="38" spans="7:11" ht="25.5" x14ac:dyDescent="0.2">
      <c r="G38" s="181" t="s">
        <v>126</v>
      </c>
      <c r="I38" s="180">
        <v>13.5</v>
      </c>
      <c r="J38" s="180" t="s">
        <v>130</v>
      </c>
      <c r="K38" s="180" t="s">
        <v>134</v>
      </c>
    </row>
    <row r="39" spans="7:11" x14ac:dyDescent="0.2">
      <c r="G39" s="181" t="s">
        <v>127</v>
      </c>
      <c r="I39" s="180">
        <v>13.5</v>
      </c>
      <c r="J39" s="180" t="s">
        <v>131</v>
      </c>
      <c r="K39" s="180" t="s">
        <v>135</v>
      </c>
    </row>
    <row r="40" spans="7:11" x14ac:dyDescent="0.2">
      <c r="G40" s="181" t="s">
        <v>128</v>
      </c>
      <c r="I40" s="180">
        <v>13.5</v>
      </c>
      <c r="J40" s="180" t="s">
        <v>132</v>
      </c>
      <c r="K40" s="180" t="s">
        <v>135</v>
      </c>
    </row>
    <row r="41" spans="7:11" ht="25.5" x14ac:dyDescent="0.2">
      <c r="G41" s="181" t="s">
        <v>129</v>
      </c>
      <c r="I41" s="180">
        <v>13.5</v>
      </c>
      <c r="J41" s="180" t="s">
        <v>133</v>
      </c>
      <c r="K41" s="180" t="s">
        <v>135</v>
      </c>
    </row>
    <row r="42" spans="7:11" x14ac:dyDescent="0.2">
      <c r="G42" s="181" t="s">
        <v>136</v>
      </c>
      <c r="I42" s="180">
        <v>13.5</v>
      </c>
      <c r="J42" s="180" t="s">
        <v>141</v>
      </c>
      <c r="K42" s="180" t="s">
        <v>135</v>
      </c>
    </row>
    <row r="43" spans="7:11" x14ac:dyDescent="0.2">
      <c r="G43" s="181" t="s">
        <v>137</v>
      </c>
      <c r="I43" s="180">
        <v>13.5</v>
      </c>
      <c r="J43" s="180" t="s">
        <v>132</v>
      </c>
      <c r="K43" s="180" t="s">
        <v>139</v>
      </c>
    </row>
    <row r="44" spans="7:11" x14ac:dyDescent="0.2">
      <c r="G44" s="181" t="s">
        <v>138</v>
      </c>
      <c r="I44" s="192">
        <v>13</v>
      </c>
      <c r="J44" s="180" t="s">
        <v>142</v>
      </c>
      <c r="K44" s="180" t="s">
        <v>140</v>
      </c>
    </row>
    <row r="45" spans="7:11" ht="25.5" x14ac:dyDescent="0.2">
      <c r="G45" s="181" t="s">
        <v>143</v>
      </c>
      <c r="I45" s="180">
        <v>13.5</v>
      </c>
      <c r="J45" s="180" t="s">
        <v>145</v>
      </c>
      <c r="K45" s="180" t="s">
        <v>135</v>
      </c>
    </row>
    <row r="46" spans="7:11" ht="25.5" x14ac:dyDescent="0.2">
      <c r="G46" s="181" t="s">
        <v>144</v>
      </c>
      <c r="I46" s="180">
        <v>13.5</v>
      </c>
      <c r="J46" s="180" t="s">
        <v>130</v>
      </c>
      <c r="K46" s="180" t="s">
        <v>135</v>
      </c>
    </row>
    <row r="47" spans="7:11" x14ac:dyDescent="0.2">
      <c r="G47" s="181" t="s">
        <v>146</v>
      </c>
      <c r="I47" s="180">
        <v>13.5</v>
      </c>
      <c r="J47" s="180" t="s">
        <v>150</v>
      </c>
      <c r="K47" s="180" t="s">
        <v>152</v>
      </c>
    </row>
    <row r="48" spans="7:11" x14ac:dyDescent="0.2">
      <c r="G48" s="181" t="s">
        <v>147</v>
      </c>
      <c r="I48" s="180">
        <v>13.5</v>
      </c>
      <c r="J48" s="180" t="s">
        <v>151</v>
      </c>
      <c r="K48" s="180" t="s">
        <v>153</v>
      </c>
    </row>
    <row r="49" spans="7:11" x14ac:dyDescent="0.2">
      <c r="G49" s="181" t="s">
        <v>148</v>
      </c>
      <c r="I49" s="180">
        <v>13.5</v>
      </c>
      <c r="J49" s="180" t="s">
        <v>142</v>
      </c>
      <c r="K49" s="180" t="s">
        <v>139</v>
      </c>
    </row>
    <row r="50" spans="7:11" x14ac:dyDescent="0.2">
      <c r="G50" s="181" t="s">
        <v>149</v>
      </c>
      <c r="I50" s="180">
        <v>13.5</v>
      </c>
      <c r="J50" s="180" t="s">
        <v>113</v>
      </c>
      <c r="K50" s="180" t="s">
        <v>139</v>
      </c>
    </row>
    <row r="51" spans="7:11" ht="25.5" x14ac:dyDescent="0.2">
      <c r="G51" s="181" t="s">
        <v>154</v>
      </c>
      <c r="I51" s="180">
        <v>13.5</v>
      </c>
      <c r="J51" s="180" t="s">
        <v>156</v>
      </c>
      <c r="K51" s="180" t="s">
        <v>135</v>
      </c>
    </row>
    <row r="52" spans="7:11" ht="25.5" x14ac:dyDescent="0.2">
      <c r="G52" s="181" t="s">
        <v>155</v>
      </c>
      <c r="I52" s="180">
        <v>13.5</v>
      </c>
      <c r="J52" s="180" t="s">
        <v>157</v>
      </c>
      <c r="K52" s="180" t="s">
        <v>135</v>
      </c>
    </row>
    <row r="53" spans="7:11" ht="25.5" x14ac:dyDescent="0.2">
      <c r="G53" s="181" t="s">
        <v>158</v>
      </c>
      <c r="I53" s="180">
        <v>13.5</v>
      </c>
      <c r="J53" s="180" t="s">
        <v>156</v>
      </c>
      <c r="K53" s="180" t="s">
        <v>135</v>
      </c>
    </row>
    <row r="54" spans="7:11" ht="25.5" x14ac:dyDescent="0.2">
      <c r="G54" s="181" t="s">
        <v>159</v>
      </c>
      <c r="I54" s="180">
        <v>13.5</v>
      </c>
      <c r="J54" s="180" t="s">
        <v>132</v>
      </c>
      <c r="K54" s="180" t="s">
        <v>135</v>
      </c>
    </row>
    <row r="55" spans="7:11" ht="25.5" x14ac:dyDescent="0.2">
      <c r="G55" s="181" t="s">
        <v>160</v>
      </c>
      <c r="I55" s="180">
        <v>13.5</v>
      </c>
      <c r="J55" s="180" t="s">
        <v>161</v>
      </c>
      <c r="K55" s="180" t="s">
        <v>135</v>
      </c>
    </row>
    <row r="56" spans="7:11" x14ac:dyDescent="0.2">
      <c r="G56" s="309" t="s">
        <v>162</v>
      </c>
      <c r="I56" s="180">
        <v>13.5</v>
      </c>
      <c r="J56" s="310" t="s">
        <v>142</v>
      </c>
      <c r="K56" s="310" t="s">
        <v>135</v>
      </c>
    </row>
    <row r="57" spans="7:11" x14ac:dyDescent="0.2">
      <c r="G57" s="309" t="s">
        <v>163</v>
      </c>
      <c r="I57" s="180">
        <v>13.5</v>
      </c>
      <c r="J57" s="310" t="s">
        <v>164</v>
      </c>
      <c r="K57" s="310" t="s">
        <v>109</v>
      </c>
    </row>
    <row r="58" spans="7:11" ht="25.5" x14ac:dyDescent="0.2">
      <c r="G58" s="309" t="s">
        <v>165</v>
      </c>
      <c r="I58" s="180">
        <v>13.5</v>
      </c>
      <c r="J58" s="310" t="s">
        <v>142</v>
      </c>
      <c r="K58" s="310" t="s">
        <v>139</v>
      </c>
    </row>
    <row r="59" spans="7:11" x14ac:dyDescent="0.2">
      <c r="G59" s="309" t="s">
        <v>166</v>
      </c>
      <c r="I59" s="180">
        <v>13.5</v>
      </c>
      <c r="J59" s="180" t="s">
        <v>113</v>
      </c>
      <c r="K59" s="310" t="s">
        <v>139</v>
      </c>
    </row>
    <row r="60" spans="7:11" x14ac:dyDescent="0.2">
      <c r="G60" s="309" t="s">
        <v>167</v>
      </c>
      <c r="I60" s="180">
        <v>13</v>
      </c>
      <c r="J60" s="180" t="s">
        <v>178</v>
      </c>
      <c r="K60" t="s">
        <v>134</v>
      </c>
    </row>
    <row r="61" spans="7:11" ht="25.5" x14ac:dyDescent="0.2">
      <c r="G61" s="309" t="s">
        <v>168</v>
      </c>
      <c r="I61" s="180">
        <v>14.5</v>
      </c>
      <c r="J61" s="180" t="s">
        <v>131</v>
      </c>
      <c r="K61" s="310" t="s">
        <v>135</v>
      </c>
    </row>
    <row r="62" spans="7:11" x14ac:dyDescent="0.2">
      <c r="G62" s="309" t="s">
        <v>169</v>
      </c>
      <c r="I62" s="180">
        <v>13.5</v>
      </c>
      <c r="J62" s="180" t="s">
        <v>103</v>
      </c>
      <c r="K62" s="310" t="s">
        <v>109</v>
      </c>
    </row>
    <row r="63" spans="7:11" x14ac:dyDescent="0.2">
      <c r="G63" s="309" t="s">
        <v>170</v>
      </c>
      <c r="I63" s="180">
        <v>13.5</v>
      </c>
      <c r="J63" s="180" t="s">
        <v>179</v>
      </c>
      <c r="K63" s="310" t="s">
        <v>134</v>
      </c>
    </row>
    <row r="64" spans="7:11" x14ac:dyDescent="0.2">
      <c r="G64" s="309" t="s">
        <v>171</v>
      </c>
      <c r="I64" s="180">
        <v>13.5</v>
      </c>
      <c r="J64" s="180" t="s">
        <v>180</v>
      </c>
      <c r="K64" s="310" t="s">
        <v>135</v>
      </c>
    </row>
    <row r="65" spans="7:11" ht="25.5" x14ac:dyDescent="0.2">
      <c r="G65" s="309" t="s">
        <v>172</v>
      </c>
      <c r="I65" s="180">
        <v>13.5</v>
      </c>
      <c r="J65" s="180" t="s">
        <v>181</v>
      </c>
      <c r="K65" s="310" t="s">
        <v>139</v>
      </c>
    </row>
    <row r="66" spans="7:11" x14ac:dyDescent="0.2">
      <c r="G66" s="309" t="s">
        <v>173</v>
      </c>
      <c r="I66" s="180">
        <v>13.5</v>
      </c>
      <c r="J66" s="180" t="s">
        <v>113</v>
      </c>
      <c r="K66" s="310" t="s">
        <v>135</v>
      </c>
    </row>
    <row r="67" spans="7:11" x14ac:dyDescent="0.2">
      <c r="G67" s="309" t="s">
        <v>174</v>
      </c>
      <c r="I67" s="180">
        <v>13.5</v>
      </c>
      <c r="J67" s="180" t="s">
        <v>142</v>
      </c>
      <c r="K67" s="310" t="s">
        <v>135</v>
      </c>
    </row>
    <row r="68" spans="7:11" x14ac:dyDescent="0.2">
      <c r="G68" s="309" t="s">
        <v>175</v>
      </c>
      <c r="I68" s="180">
        <v>13.5</v>
      </c>
      <c r="J68" s="180" t="s">
        <v>182</v>
      </c>
      <c r="K68" s="310" t="s">
        <v>135</v>
      </c>
    </row>
    <row r="69" spans="7:11" x14ac:dyDescent="0.2">
      <c r="G69" s="309" t="s">
        <v>176</v>
      </c>
      <c r="I69" s="180">
        <v>13.5</v>
      </c>
      <c r="J69" s="180" t="s">
        <v>183</v>
      </c>
      <c r="K69" s="310" t="s">
        <v>135</v>
      </c>
    </row>
    <row r="70" spans="7:11" x14ac:dyDescent="0.2">
      <c r="G70" s="309" t="s">
        <v>177</v>
      </c>
      <c r="I70" s="180">
        <v>13.5</v>
      </c>
      <c r="J70" s="180" t="s">
        <v>184</v>
      </c>
      <c r="K70" s="310" t="s">
        <v>135</v>
      </c>
    </row>
    <row r="71" spans="7:11" x14ac:dyDescent="0.2">
      <c r="G71" s="309" t="s">
        <v>185</v>
      </c>
      <c r="I71" s="180">
        <v>13.5</v>
      </c>
      <c r="J71" s="180" t="s">
        <v>131</v>
      </c>
      <c r="K71" s="310" t="s">
        <v>135</v>
      </c>
    </row>
    <row r="72" spans="7:11" ht="25.5" x14ac:dyDescent="0.2">
      <c r="G72" s="309" t="s">
        <v>186</v>
      </c>
      <c r="I72" s="180">
        <v>13.5</v>
      </c>
      <c r="J72" s="180" t="s">
        <v>188</v>
      </c>
      <c r="K72" s="310" t="s">
        <v>135</v>
      </c>
    </row>
    <row r="73" spans="7:11" x14ac:dyDescent="0.2">
      <c r="G73" s="309" t="s">
        <v>187</v>
      </c>
      <c r="I73" s="180">
        <v>13.5</v>
      </c>
      <c r="J73" s="180" t="s">
        <v>189</v>
      </c>
      <c r="K73" s="310" t="s">
        <v>135</v>
      </c>
    </row>
    <row r="74" spans="7:11" x14ac:dyDescent="0.2">
      <c r="G74" s="309" t="s">
        <v>23</v>
      </c>
      <c r="I74" s="180">
        <v>13.5</v>
      </c>
      <c r="J74" s="180" t="s">
        <v>190</v>
      </c>
      <c r="K74" s="310" t="s">
        <v>135</v>
      </c>
    </row>
    <row r="75" spans="7:11" x14ac:dyDescent="0.2">
      <c r="G75" s="309" t="s">
        <v>31</v>
      </c>
      <c r="I75" s="180">
        <v>13.5</v>
      </c>
      <c r="J75" s="180" t="s">
        <v>189</v>
      </c>
      <c r="K75" s="310" t="s">
        <v>135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49E41AA-79CE-4085-959E-66C0FE839AA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PolishApproval</vt:lpstr>
      <vt:lpstr>ShipApproval</vt:lpstr>
      <vt:lpstr>Info</vt:lpstr>
      <vt:lpstr>_R2</vt:lpstr>
      <vt:lpstr>Allergens</vt:lpstr>
      <vt:lpstr>Brand</vt:lpstr>
      <vt:lpstr>Pass_Fail</vt:lpstr>
      <vt:lpstr>PMA_status</vt:lpstr>
      <vt:lpstr>PolishApproval!Print_Area</vt:lpstr>
      <vt:lpstr>ShipApproval!Print_Area</vt:lpstr>
      <vt:lpstr>selection</vt:lpstr>
      <vt:lpstr>ShipStage</vt:lpstr>
      <vt:lpstr>table</vt:lpstr>
      <vt:lpstr>table1</vt:lpstr>
      <vt:lpstr>table2</vt:lpstr>
      <vt:lpstr>Varietal</vt:lpstr>
      <vt:lpstr>Vintage</vt:lpstr>
      <vt:lpstr>vintage1</vt:lpstr>
      <vt:lpstr>Wineries</vt:lpstr>
      <vt:lpstr>Wineries1</vt:lpstr>
      <vt:lpstr>wines_with_specs</vt:lpstr>
      <vt:lpstr>WineSpecs</vt:lpstr>
    </vt:vector>
  </TitlesOfParts>
  <Company>Constellation Brands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eric.albertus@cbrands.com</dc:creator>
  <cp:lastModifiedBy>Eric Albertus</cp:lastModifiedBy>
  <cp:lastPrinted>2017-11-01T21:19:53Z</cp:lastPrinted>
  <dcterms:created xsi:type="dcterms:W3CDTF">2008-04-23T14:03:41Z</dcterms:created>
  <dcterms:modified xsi:type="dcterms:W3CDTF">2017-11-16T18:29:52Z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rovalStatus">
    <vt:lpwstr>Not approved</vt:lpwstr>
  </property>
</Properties>
</file>